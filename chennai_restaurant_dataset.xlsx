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6b18f1b76f49361/Documents/"/>
    </mc:Choice>
  </mc:AlternateContent>
  <xr:revisionPtr revIDLastSave="326" documentId="8_{C2E93C8E-D21F-41D1-B499-011A0657AF4D}" xr6:coauthVersionLast="47" xr6:coauthVersionMax="47" xr10:uidLastSave="{46235230-E811-4A9F-82C7-97C47C13B40A}"/>
  <bookViews>
    <workbookView xWindow="-110" yWindow="-110" windowWidth="19420" windowHeight="11020" activeTab="2" xr2:uid="{00000000-000D-0000-FFFF-FFFF00000000}"/>
  </bookViews>
  <sheets>
    <sheet name="Sheet1" sheetId="7" r:id="rId1"/>
    <sheet name="Sheet2" sheetId="8" r:id="rId2"/>
    <sheet name="Chennai Orders" sheetId="1" r:id="rId3"/>
    <sheet name="sales value" sheetId="2" r:id="rId4"/>
    <sheet name="Average" sheetId="3" r:id="rId5"/>
    <sheet name="Exp tracker" sheetId="5" r:id="rId6"/>
    <sheet name="Sales data" sheetId="6" r:id="rId7"/>
  </sheets>
  <calcPr calcId="191029"/>
  <pivotCaches>
    <pivotCache cacheId="1" r:id="rId8"/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6" l="1"/>
  <c r="F3" i="6"/>
  <c r="F4" i="6"/>
  <c r="F5" i="6"/>
  <c r="F6" i="6"/>
  <c r="F7" i="6"/>
  <c r="F8" i="6"/>
  <c r="F9" i="6"/>
  <c r="F10" i="6"/>
  <c r="L3" i="3"/>
  <c r="L4" i="3"/>
  <c r="L5" i="3"/>
  <c r="L6" i="3"/>
  <c r="L7" i="3"/>
  <c r="L8" i="3"/>
  <c r="L2" i="3"/>
  <c r="J3" i="3"/>
  <c r="J2" i="3"/>
  <c r="E52" i="1"/>
  <c r="G52" i="1"/>
  <c r="E11" i="6"/>
  <c r="J4" i="3"/>
  <c r="J5" i="3"/>
  <c r="J6" i="3"/>
  <c r="J7" i="3"/>
  <c r="J8" i="3"/>
  <c r="B11" i="5"/>
  <c r="B10" i="5"/>
  <c r="B9" i="5"/>
  <c r="B8" i="5"/>
  <c r="B10" i="2"/>
  <c r="B9" i="2"/>
  <c r="B8" i="2"/>
  <c r="N3" i="3"/>
  <c r="N4" i="3"/>
  <c r="N5" i="3"/>
  <c r="N6" i="3"/>
  <c r="N7" i="3"/>
  <c r="N8" i="3"/>
  <c r="N2" i="3"/>
  <c r="B12" i="3"/>
  <c r="B13" i="3"/>
  <c r="B14" i="3"/>
  <c r="B15" i="3"/>
  <c r="B11" i="3"/>
  <c r="F52" i="1"/>
  <c r="H3" i="3"/>
  <c r="H4" i="3"/>
  <c r="H5" i="3"/>
  <c r="H6" i="3"/>
  <c r="H7" i="3"/>
  <c r="H8" i="3"/>
  <c r="H2" i="3"/>
  <c r="G3" i="3"/>
  <c r="G4" i="3"/>
  <c r="G5" i="3"/>
  <c r="G6" i="3"/>
  <c r="G7" i="3"/>
  <c r="G8" i="3"/>
  <c r="G2" i="3"/>
  <c r="B7" i="2"/>
</calcChain>
</file>

<file path=xl/sharedStrings.xml><?xml version="1.0" encoding="utf-8"?>
<sst xmlns="http://schemas.openxmlformats.org/spreadsheetml/2006/main" count="358" uniqueCount="160">
  <si>
    <t>Order_ID</t>
  </si>
  <si>
    <t>Customer_Name</t>
  </si>
  <si>
    <t>City</t>
  </si>
  <si>
    <t>Restaurant</t>
  </si>
  <si>
    <t>Order_Value</t>
  </si>
  <si>
    <t>Delivery_Time</t>
  </si>
  <si>
    <t>Rating</t>
  </si>
  <si>
    <t>Order_Date</t>
  </si>
  <si>
    <t>ORD001</t>
  </si>
  <si>
    <t>Vijay</t>
  </si>
  <si>
    <t>T Nagar</t>
  </si>
  <si>
    <t>Pizza Hut</t>
  </si>
  <si>
    <t>2026-04-17</t>
  </si>
  <si>
    <t>ORD002</t>
  </si>
  <si>
    <t>Priya</t>
  </si>
  <si>
    <t xml:space="preserve">Chennai </t>
  </si>
  <si>
    <t>Dominos</t>
  </si>
  <si>
    <t>2026-04-11</t>
  </si>
  <si>
    <t>ORD003</t>
  </si>
  <si>
    <t>Meena</t>
  </si>
  <si>
    <t>Saravana Bhavan</t>
  </si>
  <si>
    <t>2026-04-08</t>
  </si>
  <si>
    <t>ORD004</t>
  </si>
  <si>
    <t>Sneha</t>
  </si>
  <si>
    <t>Hotel Buhari</t>
  </si>
  <si>
    <t>ORD005</t>
  </si>
  <si>
    <t>Velachery</t>
  </si>
  <si>
    <t>Meghana Foods</t>
  </si>
  <si>
    <t>2026-04-09</t>
  </si>
  <si>
    <t>ORD006</t>
  </si>
  <si>
    <t>Divya</t>
  </si>
  <si>
    <t>Tambaram</t>
  </si>
  <si>
    <t>KFC</t>
  </si>
  <si>
    <t>ORD007</t>
  </si>
  <si>
    <t>Karthik</t>
  </si>
  <si>
    <t>2026-04-15</t>
  </si>
  <si>
    <t>ORD008</t>
  </si>
  <si>
    <t>2026-04-12</t>
  </si>
  <si>
    <t>ORD009</t>
  </si>
  <si>
    <t>Rahul</t>
  </si>
  <si>
    <t>OMR</t>
  </si>
  <si>
    <t>ORD010</t>
  </si>
  <si>
    <t>2026-04-14</t>
  </si>
  <si>
    <t>ORD011</t>
  </si>
  <si>
    <t>A2B</t>
  </si>
  <si>
    <t>2026-04-13</t>
  </si>
  <si>
    <t>ORD012</t>
  </si>
  <si>
    <t>Chennai</t>
  </si>
  <si>
    <t>ORD013</t>
  </si>
  <si>
    <t>ORD014</t>
  </si>
  <si>
    <t>ORD015</t>
  </si>
  <si>
    <t>Arun</t>
  </si>
  <si>
    <t>2026-04-10</t>
  </si>
  <si>
    <t>ORD016</t>
  </si>
  <si>
    <t>SS Hyderabad Biryani</t>
  </si>
  <si>
    <t>ORD017</t>
  </si>
  <si>
    <t>ORD018</t>
  </si>
  <si>
    <t>ORD019</t>
  </si>
  <si>
    <t>ORD020</t>
  </si>
  <si>
    <t>Suresh</t>
  </si>
  <si>
    <t>2026-04-16</t>
  </si>
  <si>
    <t>ORD021</t>
  </si>
  <si>
    <t>ORD022</t>
  </si>
  <si>
    <t>ORD023</t>
  </si>
  <si>
    <t>Anitha</t>
  </si>
  <si>
    <t>ORD024</t>
  </si>
  <si>
    <t>2026-04-07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</si>
  <si>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</si>
  <si>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</si>
  <si>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</si>
  <si>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</si>
  <si>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</si>
  <si>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</si>
  <si>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</si>
  <si>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</si>
  <si>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</si>
  <si>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</si>
  <si>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</si>
  <si>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</si>
  <si>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</si>
  <si>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</si>
  <si>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</si>
  <si>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</si>
  <si>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</si>
  <si>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</si>
  <si>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</si>
  <si>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</si>
  <si>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</si>
  <si>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</si>
  <si>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</si>
  <si>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</si>
  <si>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</si>
  <si>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</si>
  <si>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Sales value</t>
  </si>
  <si>
    <t>Std_name</t>
  </si>
  <si>
    <t>Tamil</t>
  </si>
  <si>
    <t>English</t>
  </si>
  <si>
    <t>maths</t>
  </si>
  <si>
    <t>science</t>
  </si>
  <si>
    <t>Social</t>
  </si>
  <si>
    <t>Ram</t>
  </si>
  <si>
    <t>Vinay</t>
  </si>
  <si>
    <t>Bavi</t>
  </si>
  <si>
    <t>Krish</t>
  </si>
  <si>
    <t>Madhava</t>
  </si>
  <si>
    <t>Vanitha</t>
  </si>
  <si>
    <t>Average</t>
  </si>
  <si>
    <t>Total</t>
  </si>
  <si>
    <t>pass/fail</t>
  </si>
  <si>
    <t>stdnt score</t>
  </si>
  <si>
    <t>AND  func</t>
  </si>
  <si>
    <t>OR func</t>
  </si>
  <si>
    <t>Not func</t>
  </si>
  <si>
    <t>Month</t>
  </si>
  <si>
    <t>Feb</t>
  </si>
  <si>
    <t>JAN</t>
  </si>
  <si>
    <t>MAR</t>
  </si>
  <si>
    <t>APR</t>
  </si>
  <si>
    <t>MAY</t>
  </si>
  <si>
    <t>Highest</t>
  </si>
  <si>
    <t>Lowest</t>
  </si>
  <si>
    <t>Count</t>
  </si>
  <si>
    <t>Rent</t>
  </si>
  <si>
    <t>Transport</t>
  </si>
  <si>
    <t>Expenses</t>
  </si>
  <si>
    <t>Groceries</t>
  </si>
  <si>
    <t>Electricity</t>
  </si>
  <si>
    <t>Water</t>
  </si>
  <si>
    <t>EMI's</t>
  </si>
  <si>
    <t>Highest exp</t>
  </si>
  <si>
    <t>Lowest exp</t>
  </si>
  <si>
    <r>
      <rPr>
        <b/>
        <sz val="11"/>
        <color theme="1"/>
        <rFont val="Calibri"/>
        <family val="2"/>
        <scheme val="minor"/>
      </rPr>
      <t>Amount</t>
    </r>
    <r>
      <rPr>
        <sz val="11"/>
        <color theme="1"/>
        <rFont val="Calibri"/>
        <family val="2"/>
        <scheme val="minor"/>
      </rPr>
      <t xml:space="preserve"> </t>
    </r>
  </si>
  <si>
    <t>Order ID</t>
  </si>
  <si>
    <t>Sales Person</t>
  </si>
  <si>
    <t>Region</t>
  </si>
  <si>
    <t>ID001</t>
  </si>
  <si>
    <t>ID002</t>
  </si>
  <si>
    <t>ID003</t>
  </si>
  <si>
    <t>Sales Amount</t>
  </si>
  <si>
    <t>ID004</t>
  </si>
  <si>
    <t>ID005</t>
  </si>
  <si>
    <t>ID006</t>
  </si>
  <si>
    <t>ID007</t>
  </si>
  <si>
    <t>ID008</t>
  </si>
  <si>
    <t>Lathish</t>
  </si>
  <si>
    <t>Nithin</t>
  </si>
  <si>
    <t>Chandru</t>
  </si>
  <si>
    <t>South</t>
  </si>
  <si>
    <t>North</t>
  </si>
  <si>
    <t>West</t>
  </si>
  <si>
    <t>East</t>
  </si>
  <si>
    <t>Product</t>
  </si>
  <si>
    <t>Laptop</t>
  </si>
  <si>
    <t>Webcam</t>
  </si>
  <si>
    <t>Monitor</t>
  </si>
  <si>
    <t>Mouse</t>
  </si>
  <si>
    <t>Keyboard</t>
  </si>
  <si>
    <t>Customer Type</t>
  </si>
  <si>
    <t>Sum of Order_Value</t>
  </si>
  <si>
    <t>Sum of Delivery_Time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</si>
</sst>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center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4" formatCode="_ &quot;₹&quot;\ * #,##0.00_ ;_ &quot;₹&quot;\ * \-#,##0.00_ ;_ &quot;₹&quot;\ * &quot;-&quot;??_ ;_ @_ "/>
      <alignment horizontal="center" vertical="bottom" textRotation="0" wrapText="0" indent="0" justifyLastLine="0" shrinkToFit="0" readingOrder="0"/>
    </dxf>
    <dxf>
      <numFmt numFmtId="34" formatCode="_ &quot;₹&quot;\ * #,##0.00_ ;_ &quot;₹&quot;\ * \-#,##0.00_ ;_ &quot;₹&quot;\ * &quot;-&quot;??_ ;_ @_ 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[chennai_restaurant_dataset.xlsx]Sheet1!PivotTable16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Delivery_Time by Restaurant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Sheet1!$A$4:$A$11</c:f>
              <c:strCache>
                <c:ptCount val="8"/>
                <c:pt idx="0">
                  <c:v>A2B</c:v>
                </c:pt>
                <c:pt idx="1">
                  <c:v>Dominos</c:v>
                </c:pt>
                <c:pt idx="2">
                  <c:v>Hotel Buhari</c:v>
                </c:pt>
                <c:pt idx="3">
                  <c:v>KFC</c:v>
                </c:pt>
                <c:pt idx="4">
                  <c:v>Meghana Foods</c:v>
                </c:pt>
                <c:pt idx="5">
                  <c:v>Pizza Hut</c:v>
                </c:pt>
                <c:pt idx="6">
                  <c:v>Saravana Bhavan</c:v>
                </c:pt>
                <c:pt idx="7">
                  <c:v>SS Hyderabad Biryani</c:v>
                </c:pt>
              </c:strCache>
            </c:strRef>
          </c:cat>
          <c:val>
            <c:numRef>
              <c:f>Sheet1!$B$4:$B$11</c:f>
              <c:numCache>
                <c:formatCode>General</c:formatCode>
                <c:ptCount val="8"/>
                <c:pt idx="0">
                  <c:v>275</c:v>
                </c:pt>
                <c:pt idx="1">
                  <c:v>114</c:v>
                </c:pt>
                <c:pt idx="2">
                  <c:v>386</c:v>
                </c:pt>
                <c:pt idx="3">
                  <c:v>385</c:v>
                </c:pt>
                <c:pt idx="4">
                  <c:v>135</c:v>
                </c:pt>
                <c:pt idx="5">
                  <c:v>262</c:v>
                </c:pt>
                <c:pt idx="6">
                  <c:v>266</c:v>
                </c:pt>
                <c:pt idx="7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9E-420A-A9D5-4A7F27FC6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4842319"/>
        <c:axId val="2014845199"/>
      </c:barChart>
      <c:catAx>
        <c:axId val="2014842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845199"/>
        <c:crosses val="autoZero"/>
        <c:auto val="1"/>
        <c:lblAlgn val="ctr"/>
        <c:lblOffset val="100"/>
        <c:noMultiLvlLbl val="0"/>
      </c:catAx>
      <c:valAx>
        <c:axId val="2014845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842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[chennai_restaurant_dataset.xlsx]Sheet2!PivotTable31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Order_Value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</c:f>
              <c:strCache>
                <c:ptCount val="1"/>
                <c:pt idx="0">
                  <c:v>Chennai</c:v>
                </c:pt>
              </c:strCache>
            </c:strRef>
          </c:cat>
          <c:val>
            <c:numRef>
              <c:f>Sheet2!$B$4</c:f>
              <c:numCache>
                <c:formatCode>General</c:formatCode>
                <c:ptCount val="1"/>
                <c:pt idx="0">
                  <c:v>5809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0-4563-8021-C36EB69B7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3412943"/>
        <c:axId val="1333409583"/>
      </c:barChart>
      <c:catAx>
        <c:axId val="133341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409583"/>
        <c:crosses val="autoZero"/>
        <c:auto val="1"/>
        <c:lblAlgn val="ctr"/>
        <c:lblOffset val="100"/>
        <c:noMultiLvlLbl val="0"/>
      </c:catAx>
      <c:valAx>
        <c:axId val="133340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412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339725</xdr:colOff>
      <xdr:row>3</xdr:row>
      <xdr:rowOff>123825</xdr:rowOff>
    </xdr:from>
    <xdr:to>
      <xdr:col>11</xdr:col>
      <xdr:colOff>34925</xdr:colOff>
      <xdr:row>18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B00458-5016-60CA-74E1-E4F663C67F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422275</xdr:colOff>
      <xdr:row>3</xdr:row>
      <xdr:rowOff>123825</xdr:rowOff>
    </xdr:from>
    <xdr:to>
      <xdr:col>12</xdr:col>
      <xdr:colOff>117475</xdr:colOff>
      <xdr:row>18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3ACEDF-FA6A-1245-B9C6-3D2591C2BC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havapriya" refreshedDate="46147.640455324072" createdVersion="8" refreshedVersion="8" minRefreshableVersion="3" recordCount="50" xr:uid="{8FD609FA-981C-4FD4-BEFA-81EDD3394A09}">
  <cacheSource type="worksheet">
    <worksheetSource name="Table1"/>
  </cacheSource>
  <cacheFields count="8">
    <cacheField name="Order_ID" numFmtId="0">
      <sharedItems/>
    </cacheField>
    <cacheField name="Customer_Name" numFmtId="0">
      <sharedItems/>
    </cacheField>
    <cacheField name="City" numFmtId="0">
      <sharedItems/>
    </cacheField>
    <cacheField name="Restaurant" numFmtId="0">
      <sharedItems count="8">
        <s v="KFC"/>
        <s v="Meghana Foods"/>
        <s v="A2B"/>
        <s v="Hotel Buhari"/>
        <s v="Pizza Hut"/>
        <s v="Dominos"/>
        <s v="Saravana Bhavan"/>
        <s v="SS Hyderabad Biryani"/>
      </sharedItems>
    </cacheField>
    <cacheField name="Order_Value" numFmtId="0">
      <sharedItems containsSemiMixedTypes="0" containsString="0" containsNumber="1" containsInteger="1" minValue="211" maxValue="786"/>
    </cacheField>
    <cacheField name="Delivery_Time" numFmtId="0">
      <sharedItems containsSemiMixedTypes="0" containsString="0" containsNumber="1" containsInteger="1" minValue="-5" maxValue="59"/>
    </cacheField>
    <cacheField name="Rating" numFmtId="0">
      <sharedItems containsSemiMixedTypes="0" containsString="0" containsNumber="1" containsInteger="1" minValue="0" maxValue="5"/>
    </cacheField>
    <cacheField name="Order_D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havapriya" refreshedDate="46147.643769212962" createdVersion="8" refreshedVersion="8" minRefreshableVersion="3" recordCount="50" xr:uid="{0FE74960-2BCF-4C58-BCAB-82E1510E6C59}">
  <cacheSource type="worksheet">
    <worksheetSource name="Table1"/>
  </cacheSource>
  <cacheFields count="8">
    <cacheField name="Order_ID" numFmtId="0">
      <sharedItems/>
    </cacheField>
    <cacheField name="Customer_Name" numFmtId="0">
      <sharedItems/>
    </cacheField>
    <cacheField name="City" numFmtId="0">
      <sharedItems count="6">
        <s v="T Nagar"/>
        <s v="Velachery"/>
        <s v="Chennai"/>
        <s v="Tambaram"/>
        <s v="OMR"/>
        <s v="Chennai "/>
      </sharedItems>
    </cacheField>
    <cacheField name="Restaurant" numFmtId="0">
      <sharedItems/>
    </cacheField>
    <cacheField name="Order_Value" numFmtId="0">
      <sharedItems containsSemiMixedTypes="0" containsString="0" containsNumber="1" containsInteger="1" minValue="211" maxValue="786"/>
    </cacheField>
    <cacheField name="Delivery_Time" numFmtId="0">
      <sharedItems containsSemiMixedTypes="0" containsString="0" containsNumber="1" containsInteger="1" minValue="-5" maxValue="59"/>
    </cacheField>
    <cacheField name="Rating" numFmtId="0">
      <sharedItems containsSemiMixedTypes="0" containsString="0" containsNumber="1" containsInteger="1" minValue="0" maxValue="5"/>
    </cacheField>
    <cacheField name="Order_D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ORD024"/>
    <s v="Rahul"/>
    <s v="T Nagar"/>
    <x v="0"/>
    <n v="211"/>
    <n v="50"/>
    <n v="5"/>
    <s v="2026-04-07"/>
  </r>
  <r>
    <s v="ORD013"/>
    <s v="Vijay"/>
    <s v="Velachery"/>
    <x v="1"/>
    <n v="215"/>
    <n v="59"/>
    <n v="3"/>
    <s v="2026-04-12"/>
  </r>
  <r>
    <s v="ORD027"/>
    <s v="Vijay"/>
    <s v="Chennai"/>
    <x v="2"/>
    <n v="242"/>
    <n v="34"/>
    <n v="5"/>
    <s v="2026-04-07"/>
  </r>
  <r>
    <s v="ORD010"/>
    <s v="Priya"/>
    <s v="Tambaram"/>
    <x v="3"/>
    <n v="258"/>
    <n v="33"/>
    <n v="2"/>
    <s v="2026-04-14"/>
  </r>
  <r>
    <s v="ORD040"/>
    <s v="Rahul"/>
    <s v="Chennai"/>
    <x v="2"/>
    <n v="279"/>
    <n v="53"/>
    <n v="5"/>
    <s v="2026-04-14"/>
  </r>
  <r>
    <s v="ORD039"/>
    <s v="Vijay"/>
    <s v="OMR"/>
    <x v="4"/>
    <n v="284"/>
    <n v="27"/>
    <n v="0"/>
    <s v="2026-04-15"/>
  </r>
  <r>
    <s v="ORD050"/>
    <s v="Arun"/>
    <s v="Tambaram"/>
    <x v="3"/>
    <n v="306"/>
    <n v="38"/>
    <n v="0"/>
    <s v="2026-04-17"/>
  </r>
  <r>
    <s v="ORD015"/>
    <s v="Arun"/>
    <s v="Chennai"/>
    <x v="0"/>
    <n v="309"/>
    <n v="57"/>
    <n v="3"/>
    <s v="2026-04-10"/>
  </r>
  <r>
    <s v="ORD001"/>
    <s v="Vijay"/>
    <s v="T Nagar"/>
    <x v="4"/>
    <n v="335"/>
    <n v="58"/>
    <n v="1"/>
    <s v="2026-04-17"/>
  </r>
  <r>
    <s v="ORD018"/>
    <s v="Divya"/>
    <s v="Chennai "/>
    <x v="5"/>
    <n v="341"/>
    <n v="26"/>
    <n v="1"/>
    <s v="2026-04-12"/>
  </r>
  <r>
    <s v="ORD030"/>
    <s v="Anitha"/>
    <s v="Chennai"/>
    <x v="3"/>
    <n v="358"/>
    <n v="59"/>
    <n v="2"/>
    <s v="2026-04-17"/>
  </r>
  <r>
    <s v="ORD022"/>
    <s v="Arun"/>
    <s v="T Nagar"/>
    <x v="0"/>
    <n v="369"/>
    <n v="40"/>
    <n v="4"/>
    <s v="2026-04-16"/>
  </r>
  <r>
    <s v="ORD037"/>
    <s v="Suresh"/>
    <s v="Tambaram"/>
    <x v="6"/>
    <n v="372"/>
    <n v="49"/>
    <n v="4"/>
    <s v="2026-04-09"/>
  </r>
  <r>
    <s v="ORD036"/>
    <s v="Priya"/>
    <s v="Velachery"/>
    <x v="6"/>
    <n v="385"/>
    <n v="35"/>
    <n v="2"/>
    <s v="2026-04-16"/>
  </r>
  <r>
    <s v="ORD046"/>
    <s v="Suresh"/>
    <s v="Velachery"/>
    <x v="2"/>
    <n v="399"/>
    <n v="35"/>
    <n v="5"/>
    <s v="2026-04-14"/>
  </r>
  <r>
    <s v="ORD032"/>
    <s v="Arun"/>
    <s v="OMR"/>
    <x v="4"/>
    <n v="401"/>
    <n v="37"/>
    <n v="1"/>
    <s v="2026-04-11"/>
  </r>
  <r>
    <s v="ORD002"/>
    <s v="Priya"/>
    <s v="Chennai "/>
    <x v="5"/>
    <n v="404"/>
    <n v="45"/>
    <n v="3"/>
    <s v="2026-04-11"/>
  </r>
  <r>
    <s v="ORD031"/>
    <s v="Meena"/>
    <s v="Velachery"/>
    <x v="3"/>
    <n v="424"/>
    <n v="40"/>
    <n v="4"/>
    <s v="2026-04-07"/>
  </r>
  <r>
    <s v="ORD004"/>
    <s v="Sneha"/>
    <s v="Chennai "/>
    <x v="3"/>
    <n v="428"/>
    <n v="49"/>
    <n v="1"/>
    <s v="2026-04-11"/>
  </r>
  <r>
    <s v="ORD029"/>
    <s v="Arun"/>
    <s v="Chennai "/>
    <x v="3"/>
    <n v="440"/>
    <n v="38"/>
    <n v="5"/>
    <s v="2026-04-10"/>
  </r>
  <r>
    <s v="ORD035"/>
    <s v="Karthik"/>
    <s v="Chennai"/>
    <x v="6"/>
    <n v="450"/>
    <n v="32"/>
    <n v="5"/>
    <s v="2026-04-17"/>
  </r>
  <r>
    <s v="ORD042"/>
    <s v="Rahul"/>
    <s v="Chennai"/>
    <x v="2"/>
    <n v="457"/>
    <n v="43"/>
    <n v="4"/>
    <s v="2026-04-15"/>
  </r>
  <r>
    <s v="ORD048"/>
    <s v="Suresh"/>
    <s v="Tambaram"/>
    <x v="3"/>
    <n v="463"/>
    <n v="58"/>
    <n v="5"/>
    <s v="2026-04-13"/>
  </r>
  <r>
    <s v="ORD014"/>
    <s v="Vijay"/>
    <s v="T Nagar"/>
    <x v="0"/>
    <n v="469"/>
    <n v="37"/>
    <n v="3"/>
    <s v="2026-04-15"/>
  </r>
  <r>
    <s v="ORD021"/>
    <s v="Divya"/>
    <s v="Tambaram"/>
    <x v="1"/>
    <n v="472"/>
    <n v="22"/>
    <n v="3"/>
    <s v="2026-04-13"/>
  </r>
  <r>
    <s v="ORD033"/>
    <s v="Priya"/>
    <s v="Chennai "/>
    <x v="2"/>
    <n v="486"/>
    <n v="33"/>
    <n v="4"/>
    <s v="2026-04-17"/>
  </r>
  <r>
    <s v="ORD044"/>
    <s v="Arun"/>
    <s v="Chennai"/>
    <x v="1"/>
    <n v="493"/>
    <n v="29"/>
    <n v="0"/>
    <s v="2026-04-07"/>
  </r>
  <r>
    <s v="ORD008"/>
    <s v="Divya"/>
    <s v="Tambaram"/>
    <x v="4"/>
    <n v="496"/>
    <n v="31"/>
    <n v="4"/>
    <s v="2026-04-12"/>
  </r>
  <r>
    <s v="ORD049"/>
    <s v="Anitha"/>
    <s v="OMR"/>
    <x v="6"/>
    <n v="521"/>
    <n v="32"/>
    <n v="1"/>
    <s v="2026-04-11"/>
  </r>
  <r>
    <s v="ORD005"/>
    <s v="Priya"/>
    <s v="Velachery"/>
    <x v="1"/>
    <n v="553"/>
    <n v="25"/>
    <n v="5"/>
    <s v="2026-04-09"/>
  </r>
  <r>
    <s v="ORD016"/>
    <s v="Vijay"/>
    <s v="OMR"/>
    <x v="7"/>
    <n v="554"/>
    <n v="22"/>
    <n v="5"/>
    <s v="2026-04-15"/>
  </r>
  <r>
    <s v="ORD006"/>
    <s v="Divya"/>
    <s v="Tambaram"/>
    <x v="0"/>
    <n v="576"/>
    <n v="21"/>
    <n v="2"/>
    <s v="2026-04-11"/>
  </r>
  <r>
    <s v="ORD034"/>
    <s v="Karthik"/>
    <s v="OMR"/>
    <x v="4"/>
    <n v="581"/>
    <n v="-5"/>
    <n v="4"/>
    <s v="2026-04-15"/>
  </r>
  <r>
    <s v="ORD020"/>
    <s v="Suresh"/>
    <s v="T Nagar"/>
    <x v="4"/>
    <n v="588"/>
    <n v="39"/>
    <n v="4"/>
    <s v="2026-04-16"/>
  </r>
  <r>
    <s v="ORD028"/>
    <s v="Divya"/>
    <s v="OMR"/>
    <x v="4"/>
    <n v="604"/>
    <n v="46"/>
    <n v="0"/>
    <s v="2026-04-09"/>
  </r>
  <r>
    <s v="ORD025"/>
    <s v="Meena"/>
    <s v="Chennai"/>
    <x v="2"/>
    <n v="605"/>
    <n v="47"/>
    <n v="1"/>
    <s v="2026-04-13"/>
  </r>
  <r>
    <s v="ORD045"/>
    <s v="Meena"/>
    <s v="Chennai"/>
    <x v="0"/>
    <n v="605"/>
    <n v="39"/>
    <n v="2"/>
    <s v="2026-04-13"/>
  </r>
  <r>
    <s v="ORD026"/>
    <s v="Karthik"/>
    <s v="Chennai"/>
    <x v="6"/>
    <n v="610"/>
    <n v="31"/>
    <n v="3"/>
    <s v="2026-04-13"/>
  </r>
  <r>
    <s v="ORD017"/>
    <s v="Karthik"/>
    <s v="Tambaram"/>
    <x v="0"/>
    <n v="612"/>
    <n v="55"/>
    <n v="3"/>
    <s v="2026-04-09"/>
  </r>
  <r>
    <s v="ORD011"/>
    <s v="Meena"/>
    <s v="OMR"/>
    <x v="2"/>
    <n v="631"/>
    <n v="30"/>
    <n v="2"/>
    <s v="2026-04-13"/>
  </r>
  <r>
    <s v="ORD003"/>
    <s v="Meena"/>
    <s v="Chennai "/>
    <x v="6"/>
    <n v="637"/>
    <n v="52"/>
    <n v="5"/>
    <s v="2026-04-08"/>
  </r>
  <r>
    <s v="ORD047"/>
    <s v="Rahul"/>
    <s v="Chennai"/>
    <x v="3"/>
    <n v="679"/>
    <n v="25"/>
    <n v="0"/>
    <s v="2026-04-14"/>
  </r>
  <r>
    <s v="ORD023"/>
    <s v="Anitha"/>
    <s v="Velachery"/>
    <x v="0"/>
    <n v="697"/>
    <n v="29"/>
    <n v="0"/>
    <s v="2026-04-15"/>
  </r>
  <r>
    <s v="ORD038"/>
    <s v="Vijay"/>
    <s v="OMR"/>
    <x v="7"/>
    <n v="705"/>
    <n v="47"/>
    <n v="3"/>
    <s v="2026-04-12"/>
  </r>
  <r>
    <s v="ORD012"/>
    <s v="Rahul"/>
    <s v="Chennai"/>
    <x v="4"/>
    <n v="722"/>
    <n v="29"/>
    <n v="4"/>
    <s v="2026-04-13"/>
  </r>
  <r>
    <s v="ORD007"/>
    <s v="Karthik"/>
    <s v="Tambaram"/>
    <x v="3"/>
    <n v="732"/>
    <n v="46"/>
    <n v="0"/>
    <s v="2026-04-15"/>
  </r>
  <r>
    <s v="ORD019"/>
    <s v="Priya"/>
    <s v="Velachery"/>
    <x v="0"/>
    <n v="733"/>
    <n v="57"/>
    <n v="5"/>
    <s v="2026-04-15"/>
  </r>
  <r>
    <s v="ORD043"/>
    <s v="Karthik"/>
    <s v="OMR"/>
    <x v="6"/>
    <n v="756"/>
    <n v="35"/>
    <n v="0"/>
    <s v="2026-04-14"/>
  </r>
  <r>
    <s v="ORD009"/>
    <s v="Rahul"/>
    <s v="OMR"/>
    <x v="5"/>
    <n v="778"/>
    <n v="43"/>
    <n v="4"/>
    <s v="2026-04-12"/>
  </r>
  <r>
    <s v="ORD041"/>
    <s v="Rahul"/>
    <s v="Velachery"/>
    <x v="7"/>
    <n v="786"/>
    <n v="35"/>
    <n v="5"/>
    <s v="2026-04-0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ORD024"/>
    <s v="Rahul"/>
    <x v="0"/>
    <s v="KFC"/>
    <n v="211"/>
    <n v="50"/>
    <n v="5"/>
    <s v="2026-04-07"/>
  </r>
  <r>
    <s v="ORD013"/>
    <s v="Vijay"/>
    <x v="1"/>
    <s v="Meghana Foods"/>
    <n v="215"/>
    <n v="59"/>
    <n v="3"/>
    <s v="2026-04-12"/>
  </r>
  <r>
    <s v="ORD027"/>
    <s v="Vijay"/>
    <x v="2"/>
    <s v="A2B"/>
    <n v="242"/>
    <n v="34"/>
    <n v="5"/>
    <s v="2026-04-07"/>
  </r>
  <r>
    <s v="ORD010"/>
    <s v="Priya"/>
    <x v="3"/>
    <s v="Hotel Buhari"/>
    <n v="258"/>
    <n v="33"/>
    <n v="2"/>
    <s v="2026-04-14"/>
  </r>
  <r>
    <s v="ORD040"/>
    <s v="Rahul"/>
    <x v="2"/>
    <s v="A2B"/>
    <n v="279"/>
    <n v="53"/>
    <n v="5"/>
    <s v="2026-04-14"/>
  </r>
  <r>
    <s v="ORD039"/>
    <s v="Vijay"/>
    <x v="4"/>
    <s v="Pizza Hut"/>
    <n v="284"/>
    <n v="27"/>
    <n v="0"/>
    <s v="2026-04-15"/>
  </r>
  <r>
    <s v="ORD050"/>
    <s v="Arun"/>
    <x v="3"/>
    <s v="Hotel Buhari"/>
    <n v="306"/>
    <n v="38"/>
    <n v="0"/>
    <s v="2026-04-17"/>
  </r>
  <r>
    <s v="ORD015"/>
    <s v="Arun"/>
    <x v="2"/>
    <s v="KFC"/>
    <n v="309"/>
    <n v="57"/>
    <n v="3"/>
    <s v="2026-04-10"/>
  </r>
  <r>
    <s v="ORD001"/>
    <s v="Vijay"/>
    <x v="0"/>
    <s v="Pizza Hut"/>
    <n v="335"/>
    <n v="58"/>
    <n v="1"/>
    <s v="2026-04-17"/>
  </r>
  <r>
    <s v="ORD018"/>
    <s v="Divya"/>
    <x v="5"/>
    <s v="Dominos"/>
    <n v="341"/>
    <n v="26"/>
    <n v="1"/>
    <s v="2026-04-12"/>
  </r>
  <r>
    <s v="ORD030"/>
    <s v="Anitha"/>
    <x v="2"/>
    <s v="Hotel Buhari"/>
    <n v="358"/>
    <n v="59"/>
    <n v="2"/>
    <s v="2026-04-17"/>
  </r>
  <r>
    <s v="ORD022"/>
    <s v="Arun"/>
    <x v="0"/>
    <s v="KFC"/>
    <n v="369"/>
    <n v="40"/>
    <n v="4"/>
    <s v="2026-04-16"/>
  </r>
  <r>
    <s v="ORD037"/>
    <s v="Suresh"/>
    <x v="3"/>
    <s v="Saravana Bhavan"/>
    <n v="372"/>
    <n v="49"/>
    <n v="4"/>
    <s v="2026-04-09"/>
  </r>
  <r>
    <s v="ORD036"/>
    <s v="Priya"/>
    <x v="1"/>
    <s v="Saravana Bhavan"/>
    <n v="385"/>
    <n v="35"/>
    <n v="2"/>
    <s v="2026-04-16"/>
  </r>
  <r>
    <s v="ORD046"/>
    <s v="Suresh"/>
    <x v="1"/>
    <s v="A2B"/>
    <n v="399"/>
    <n v="35"/>
    <n v="5"/>
    <s v="2026-04-14"/>
  </r>
  <r>
    <s v="ORD032"/>
    <s v="Arun"/>
    <x v="4"/>
    <s v="Pizza Hut"/>
    <n v="401"/>
    <n v="37"/>
    <n v="1"/>
    <s v="2026-04-11"/>
  </r>
  <r>
    <s v="ORD002"/>
    <s v="Priya"/>
    <x v="5"/>
    <s v="Dominos"/>
    <n v="404"/>
    <n v="45"/>
    <n v="3"/>
    <s v="2026-04-11"/>
  </r>
  <r>
    <s v="ORD031"/>
    <s v="Meena"/>
    <x v="1"/>
    <s v="Hotel Buhari"/>
    <n v="424"/>
    <n v="40"/>
    <n v="4"/>
    <s v="2026-04-07"/>
  </r>
  <r>
    <s v="ORD004"/>
    <s v="Sneha"/>
    <x v="5"/>
    <s v="Hotel Buhari"/>
    <n v="428"/>
    <n v="49"/>
    <n v="1"/>
    <s v="2026-04-11"/>
  </r>
  <r>
    <s v="ORD029"/>
    <s v="Arun"/>
    <x v="5"/>
    <s v="Hotel Buhari"/>
    <n v="440"/>
    <n v="38"/>
    <n v="5"/>
    <s v="2026-04-10"/>
  </r>
  <r>
    <s v="ORD035"/>
    <s v="Karthik"/>
    <x v="2"/>
    <s v="Saravana Bhavan"/>
    <n v="450"/>
    <n v="32"/>
    <n v="5"/>
    <s v="2026-04-17"/>
  </r>
  <r>
    <s v="ORD042"/>
    <s v="Rahul"/>
    <x v="2"/>
    <s v="A2B"/>
    <n v="457"/>
    <n v="43"/>
    <n v="4"/>
    <s v="2026-04-15"/>
  </r>
  <r>
    <s v="ORD048"/>
    <s v="Suresh"/>
    <x v="3"/>
    <s v="Hotel Buhari"/>
    <n v="463"/>
    <n v="58"/>
    <n v="5"/>
    <s v="2026-04-13"/>
  </r>
  <r>
    <s v="ORD014"/>
    <s v="Vijay"/>
    <x v="0"/>
    <s v="KFC"/>
    <n v="469"/>
    <n v="37"/>
    <n v="3"/>
    <s v="2026-04-15"/>
  </r>
  <r>
    <s v="ORD021"/>
    <s v="Divya"/>
    <x v="3"/>
    <s v="Meghana Foods"/>
    <n v="472"/>
    <n v="22"/>
    <n v="3"/>
    <s v="2026-04-13"/>
  </r>
  <r>
    <s v="ORD033"/>
    <s v="Priya"/>
    <x v="5"/>
    <s v="A2B"/>
    <n v="486"/>
    <n v="33"/>
    <n v="4"/>
    <s v="2026-04-17"/>
  </r>
  <r>
    <s v="ORD044"/>
    <s v="Arun"/>
    <x v="2"/>
    <s v="Meghana Foods"/>
    <n v="493"/>
    <n v="29"/>
    <n v="0"/>
    <s v="2026-04-07"/>
  </r>
  <r>
    <s v="ORD008"/>
    <s v="Divya"/>
    <x v="3"/>
    <s v="Pizza Hut"/>
    <n v="496"/>
    <n v="31"/>
    <n v="4"/>
    <s v="2026-04-12"/>
  </r>
  <r>
    <s v="ORD049"/>
    <s v="Anitha"/>
    <x v="4"/>
    <s v="Saravana Bhavan"/>
    <n v="521"/>
    <n v="32"/>
    <n v="1"/>
    <s v="2026-04-11"/>
  </r>
  <r>
    <s v="ORD005"/>
    <s v="Priya"/>
    <x v="1"/>
    <s v="Meghana Foods"/>
    <n v="553"/>
    <n v="25"/>
    <n v="5"/>
    <s v="2026-04-09"/>
  </r>
  <r>
    <s v="ORD016"/>
    <s v="Vijay"/>
    <x v="4"/>
    <s v="SS Hyderabad Biryani"/>
    <n v="554"/>
    <n v="22"/>
    <n v="5"/>
    <s v="2026-04-15"/>
  </r>
  <r>
    <s v="ORD006"/>
    <s v="Divya"/>
    <x v="3"/>
    <s v="KFC"/>
    <n v="576"/>
    <n v="21"/>
    <n v="2"/>
    <s v="2026-04-11"/>
  </r>
  <r>
    <s v="ORD034"/>
    <s v="Karthik"/>
    <x v="4"/>
    <s v="Pizza Hut"/>
    <n v="581"/>
    <n v="-5"/>
    <n v="4"/>
    <s v="2026-04-15"/>
  </r>
  <r>
    <s v="ORD020"/>
    <s v="Suresh"/>
    <x v="0"/>
    <s v="Pizza Hut"/>
    <n v="588"/>
    <n v="39"/>
    <n v="4"/>
    <s v="2026-04-16"/>
  </r>
  <r>
    <s v="ORD028"/>
    <s v="Divya"/>
    <x v="4"/>
    <s v="Pizza Hut"/>
    <n v="604"/>
    <n v="46"/>
    <n v="0"/>
    <s v="2026-04-09"/>
  </r>
  <r>
    <s v="ORD025"/>
    <s v="Meena"/>
    <x v="2"/>
    <s v="A2B"/>
    <n v="605"/>
    <n v="47"/>
    <n v="1"/>
    <s v="2026-04-13"/>
  </r>
  <r>
    <s v="ORD045"/>
    <s v="Meena"/>
    <x v="2"/>
    <s v="KFC"/>
    <n v="605"/>
    <n v="39"/>
    <n v="2"/>
    <s v="2026-04-13"/>
  </r>
  <r>
    <s v="ORD026"/>
    <s v="Karthik"/>
    <x v="2"/>
    <s v="Saravana Bhavan"/>
    <n v="610"/>
    <n v="31"/>
    <n v="3"/>
    <s v="2026-04-13"/>
  </r>
  <r>
    <s v="ORD017"/>
    <s v="Karthik"/>
    <x v="3"/>
    <s v="KFC"/>
    <n v="612"/>
    <n v="55"/>
    <n v="3"/>
    <s v="2026-04-09"/>
  </r>
  <r>
    <s v="ORD011"/>
    <s v="Meena"/>
    <x v="4"/>
    <s v="A2B"/>
    <n v="631"/>
    <n v="30"/>
    <n v="2"/>
    <s v="2026-04-13"/>
  </r>
  <r>
    <s v="ORD003"/>
    <s v="Meena"/>
    <x v="5"/>
    <s v="Saravana Bhavan"/>
    <n v="637"/>
    <n v="52"/>
    <n v="5"/>
    <s v="2026-04-08"/>
  </r>
  <r>
    <s v="ORD047"/>
    <s v="Rahul"/>
    <x v="2"/>
    <s v="Hotel Buhari"/>
    <n v="679"/>
    <n v="25"/>
    <n v="0"/>
    <s v="2026-04-14"/>
  </r>
  <r>
    <s v="ORD023"/>
    <s v="Anitha"/>
    <x v="1"/>
    <s v="KFC"/>
    <n v="697"/>
    <n v="29"/>
    <n v="0"/>
    <s v="2026-04-15"/>
  </r>
  <r>
    <s v="ORD038"/>
    <s v="Vijay"/>
    <x v="4"/>
    <s v="SS Hyderabad Biryani"/>
    <n v="705"/>
    <n v="47"/>
    <n v="3"/>
    <s v="2026-04-12"/>
  </r>
  <r>
    <s v="ORD012"/>
    <s v="Rahul"/>
    <x v="2"/>
    <s v="Pizza Hut"/>
    <n v="722"/>
    <n v="29"/>
    <n v="4"/>
    <s v="2026-04-13"/>
  </r>
  <r>
    <s v="ORD007"/>
    <s v="Karthik"/>
    <x v="3"/>
    <s v="Hotel Buhari"/>
    <n v="732"/>
    <n v="46"/>
    <n v="0"/>
    <s v="2026-04-15"/>
  </r>
  <r>
    <s v="ORD019"/>
    <s v="Priya"/>
    <x v="1"/>
    <s v="KFC"/>
    <n v="733"/>
    <n v="57"/>
    <n v="5"/>
    <s v="2026-04-15"/>
  </r>
  <r>
    <s v="ORD043"/>
    <s v="Karthik"/>
    <x v="4"/>
    <s v="Saravana Bhavan"/>
    <n v="756"/>
    <n v="35"/>
    <n v="0"/>
    <s v="2026-04-14"/>
  </r>
  <r>
    <s v="ORD009"/>
    <s v="Rahul"/>
    <x v="4"/>
    <s v="Dominos"/>
    <n v="778"/>
    <n v="43"/>
    <n v="4"/>
    <s v="2026-04-12"/>
  </r>
  <r>
    <s v="ORD041"/>
    <s v="Rahul"/>
    <x v="1"/>
    <s v="SS Hyderabad Biryani"/>
    <n v="786"/>
    <n v="35"/>
    <n v="5"/>
    <s v="2026-04-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8E1550-23E9-4C03-9D67-446C4045F3B6}" name="PivotTable16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">
  <location ref="A3:B11" firstHeaderRow="1" firstDataRow="1" firstDataCol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2"/>
        <item x="5"/>
        <item x="3"/>
        <item x="0"/>
        <item x="1"/>
        <item x="4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Sum of Delivery_Time" fld="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0D35AA-71BE-4085-9143-866E5F4C0C00}" name="PivotTable31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4" firstHeaderRow="1" firstDataRow="1" firstDataCol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2"/>
        <item h="1" x="5"/>
        <item h="1" x="4"/>
        <item h="1" x="0"/>
        <item h="1" x="3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">
    <i>
      <x/>
    </i>
  </rowItems>
  <colItems count="1">
    <i/>
  </colItems>
  <dataFields count="1">
    <dataField name="Sum of Order_Valu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F9ACCB-EF5E-4CD4-9CB1-07DEB918CA5B}" name="Table1" displayName="Table1" ref="A1:H52" totalsRowCount="1">
  <autoFilter ref="A1:H51" xr:uid="{79F9ACCB-EF5E-4CD4-9CB1-07DEB918CA5B}"/>
  <sortState xmlns:xlrd2="http://schemas.microsoft.com/office/spreadsheetml/2017/richdata2" ref="A2:H51">
    <sortCondition ref="E1:E51"/>
  </sortState>
  <tableColumns count="8">
    <tableColumn id="1" xr3:uid="{850B503C-6BD9-42D0-8ECD-80793482366E}" name="Order_ID"/>
    <tableColumn id="2" xr3:uid="{42CEE9BB-483D-4824-B4B4-56E70786E755}" name="Customer_Name"/>
    <tableColumn id="3" xr3:uid="{0AF796FA-EC49-4651-B73E-F92392AFE1E4}" name="City"/>
    <tableColumn id="4" xr3:uid="{FD65A03A-3CFA-4AA2-B826-75CF6707C0EC}" name="Restaurant"/>
    <tableColumn id="5" xr3:uid="{A9E9EFC3-2EBA-4385-8080-985F70B8D001}" name="Order_Value" totalsRowFunction="sum"/>
    <tableColumn id="6" xr3:uid="{D0F25248-9C22-4410-B3EE-FD59AF9A0E03}" name="Delivery_Time" totalsRowFunction="custom">
      <totalsRowFormula>AVERAGE(F2:F51)</totalsRowFormula>
    </tableColumn>
    <tableColumn id="7" xr3:uid="{764533AA-74BB-4D51-82F7-8E5E0A4C76EA}" name="Rating" totalsRowFunction="average"/>
    <tableColumn id="8" xr3:uid="{FC947332-C9EB-476D-8A77-09357CC8F23C}" name="Order_Dat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198306-8279-45B1-8969-E67961E5C943}" name="Table2" displayName="Table2" ref="A1:F11" totalsRowCount="1" headerRowDxfId="14" dataDxfId="13">
  <autoFilter ref="A1:F10" xr:uid="{C9198306-8279-45B1-8969-E67961E5C943}"/>
  <tableColumns count="6">
    <tableColumn id="1" xr3:uid="{02915E6A-FE24-41B9-B9FF-A41D7777F7F6}" name="Order ID" dataDxfId="12" totalsRowDxfId="11"/>
    <tableColumn id="2" xr3:uid="{6EA13686-218F-4821-B2C5-F2AAF9ED2FB3}" name="Sales Person" dataDxfId="10" totalsRowDxfId="9"/>
    <tableColumn id="3" xr3:uid="{EA95376E-4679-49C0-800A-0EFA30442278}" name="Region" dataDxfId="8" totalsRowDxfId="7"/>
    <tableColumn id="4" xr3:uid="{E834EC4B-30FF-40D6-AE92-E302CEDD5DD4}" name="Product" dataDxfId="6" totalsRowDxfId="5"/>
    <tableColumn id="5" xr3:uid="{70876F93-9D32-4F2F-9B92-A16EAF2A94C3}" name="Sales Amount" totalsRowFunction="custom" dataDxfId="4" totalsRowDxfId="3">
      <totalsRowFormula>SUBTOTAL(109,E3:E10)</totalsRowFormula>
    </tableColumn>
    <tableColumn id="6" xr3:uid="{69F30758-81BF-4FB5-9B5C-F84DA3F77401}" name="Customer Type" dataDxfId="2" totalsRowDxfId="1">
      <calculatedColumnFormula>IF(E2&gt;15000,IF(E2&gt;40000, "Premium customer", "Golden customer"), "Normal customer")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60F87-4702-4B83-9DD2-3585318318E4}">
  <dimension ref="A3:B11"/>
  <sheetViews>
    <sheetView workbookViewId="0">
      <selection activeCell="A3" sqref="A3"/>
    </sheetView>
  </sheetViews>
  <sheetFormatPr defaultRowHeight="14.5" x14ac:dyDescent="0.35"/>
  <cols>
    <col min="1" max="1" width="18.6328125" bestFit="1" customWidth="1"/>
    <col min="2" max="2" width="19.08984375" bestFit="1" customWidth="1"/>
  </cols>
  <sheetData>
    <row r="3" spans="1:2" x14ac:dyDescent="0.35">
      <c r="A3" s="9" t="s">
        <v>3</v>
      </c>
      <c r="B3" t="s">
        <v>159</v>
      </c>
    </row>
    <row r="4" spans="1:2" x14ac:dyDescent="0.35">
      <c r="A4" t="s">
        <v>44</v>
      </c>
      <c r="B4">
        <v>275</v>
      </c>
    </row>
    <row r="5" spans="1:2" x14ac:dyDescent="0.35">
      <c r="A5" t="s">
        <v>16</v>
      </c>
      <c r="B5">
        <v>114</v>
      </c>
    </row>
    <row r="6" spans="1:2" x14ac:dyDescent="0.35">
      <c r="A6" t="s">
        <v>24</v>
      </c>
      <c r="B6">
        <v>386</v>
      </c>
    </row>
    <row r="7" spans="1:2" x14ac:dyDescent="0.35">
      <c r="A7" t="s">
        <v>32</v>
      </c>
      <c r="B7">
        <v>385</v>
      </c>
    </row>
    <row r="8" spans="1:2" x14ac:dyDescent="0.35">
      <c r="A8" t="s">
        <v>27</v>
      </c>
      <c r="B8">
        <v>135</v>
      </c>
    </row>
    <row r="9" spans="1:2" x14ac:dyDescent="0.35">
      <c r="A9" t="s">
        <v>11</v>
      </c>
      <c r="B9">
        <v>262</v>
      </c>
    </row>
    <row r="10" spans="1:2" x14ac:dyDescent="0.35">
      <c r="A10" t="s">
        <v>20</v>
      </c>
      <c r="B10">
        <v>266</v>
      </c>
    </row>
    <row r="11" spans="1:2" x14ac:dyDescent="0.35">
      <c r="A11" t="s">
        <v>54</v>
      </c>
      <c r="B11">
        <v>104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73FF-EB36-46E3-9409-E02EFCFADA24}">
  <dimension ref="A3:B4"/>
  <sheetViews>
    <sheetView workbookViewId="0">
      <selection activeCell="B5" sqref="B5"/>
    </sheetView>
  </sheetViews>
  <sheetFormatPr defaultRowHeight="14.5" x14ac:dyDescent="0.35"/>
  <cols>
    <col min="1" max="1" width="7.6328125" bestFit="1" customWidth="1"/>
    <col min="2" max="2" width="17.90625" bestFit="1" customWidth="1"/>
  </cols>
  <sheetData>
    <row r="3" spans="1:2" x14ac:dyDescent="0.35">
      <c r="A3" s="9" t="s">
        <v>2</v>
      </c>
      <c r="B3" t="s">
        <v>158</v>
      </c>
    </row>
    <row r="4" spans="1:2" x14ac:dyDescent="0.35">
      <c r="A4" t="s">
        <v>47</v>
      </c>
      <c r="B4">
        <v>5809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pane ySplit="1" topLeftCell="A2" activePane="bottomLeft" state="frozen"/>
      <selection pane="bottomLeft" activeCell="K47" sqref="K47"/>
    </sheetView>
  </sheetViews>
  <sheetFormatPr defaultRowHeight="14.5" x14ac:dyDescent="0.35"/>
  <cols>
    <col min="1" max="1" width="10.54296875" customWidth="1"/>
    <col min="2" max="2" width="16.90625" customWidth="1"/>
    <col min="3" max="3" width="9.90625" bestFit="1" customWidth="1"/>
    <col min="4" max="4" width="18.6328125" bestFit="1" customWidth="1"/>
    <col min="5" max="5" width="13.453125" customWidth="1"/>
    <col min="6" max="6" width="14.90625" bestFit="1" customWidth="1"/>
    <col min="7" max="7" width="8.36328125" bestFit="1" customWidth="1"/>
    <col min="8" max="8" width="12.7265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65</v>
      </c>
      <c r="B2" t="s">
        <v>39</v>
      </c>
      <c r="C2" t="s">
        <v>10</v>
      </c>
      <c r="D2" t="s">
        <v>32</v>
      </c>
      <c r="E2">
        <v>211</v>
      </c>
      <c r="F2">
        <v>50</v>
      </c>
      <c r="G2">
        <v>5</v>
      </c>
      <c r="H2" t="s">
        <v>66</v>
      </c>
    </row>
    <row r="3" spans="1:8" x14ac:dyDescent="0.35">
      <c r="A3" t="s">
        <v>48</v>
      </c>
      <c r="B3" t="s">
        <v>9</v>
      </c>
      <c r="C3" t="s">
        <v>26</v>
      </c>
      <c r="D3" t="s">
        <v>27</v>
      </c>
      <c r="E3">
        <v>215</v>
      </c>
      <c r="F3">
        <v>59</v>
      </c>
      <c r="G3">
        <v>3</v>
      </c>
      <c r="H3" t="s">
        <v>37</v>
      </c>
    </row>
    <row r="4" spans="1:8" x14ac:dyDescent="0.35">
      <c r="A4" t="s">
        <v>69</v>
      </c>
      <c r="B4" t="s">
        <v>9</v>
      </c>
      <c r="C4" t="s">
        <v>47</v>
      </c>
      <c r="D4" t="s">
        <v>44</v>
      </c>
      <c r="E4">
        <v>242</v>
      </c>
      <c r="F4">
        <v>34</v>
      </c>
      <c r="G4">
        <v>5</v>
      </c>
      <c r="H4" t="s">
        <v>66</v>
      </c>
    </row>
    <row r="5" spans="1:8" x14ac:dyDescent="0.35">
      <c r="A5" t="s">
        <v>41</v>
      </c>
      <c r="B5" t="s">
        <v>14</v>
      </c>
      <c r="C5" t="s">
        <v>31</v>
      </c>
      <c r="D5" t="s">
        <v>24</v>
      </c>
      <c r="E5">
        <v>258</v>
      </c>
      <c r="F5">
        <v>33</v>
      </c>
      <c r="G5">
        <v>2</v>
      </c>
      <c r="H5" t="s">
        <v>42</v>
      </c>
    </row>
    <row r="6" spans="1:8" x14ac:dyDescent="0.35">
      <c r="A6" t="s">
        <v>82</v>
      </c>
      <c r="B6" t="s">
        <v>39</v>
      </c>
      <c r="C6" t="s">
        <v>47</v>
      </c>
      <c r="D6" t="s">
        <v>44</v>
      </c>
      <c r="E6">
        <v>279</v>
      </c>
      <c r="F6">
        <v>53</v>
      </c>
      <c r="G6">
        <v>5</v>
      </c>
      <c r="H6" t="s">
        <v>42</v>
      </c>
    </row>
    <row r="7" spans="1:8" x14ac:dyDescent="0.35">
      <c r="A7" t="s">
        <v>81</v>
      </c>
      <c r="B7" t="s">
        <v>9</v>
      </c>
      <c r="C7" t="s">
        <v>40</v>
      </c>
      <c r="D7" t="s">
        <v>11</v>
      </c>
      <c r="E7">
        <v>284</v>
      </c>
      <c r="F7">
        <v>27</v>
      </c>
      <c r="G7">
        <v>0</v>
      </c>
      <c r="H7" t="s">
        <v>35</v>
      </c>
    </row>
    <row r="8" spans="1:8" x14ac:dyDescent="0.35">
      <c r="A8" t="s">
        <v>92</v>
      </c>
      <c r="B8" t="s">
        <v>51</v>
      </c>
      <c r="C8" t="s">
        <v>31</v>
      </c>
      <c r="D8" t="s">
        <v>24</v>
      </c>
      <c r="E8">
        <v>306</v>
      </c>
      <c r="F8">
        <v>38</v>
      </c>
      <c r="G8">
        <v>0</v>
      </c>
      <c r="H8" t="s">
        <v>12</v>
      </c>
    </row>
    <row r="9" spans="1:8" x14ac:dyDescent="0.35">
      <c r="A9" t="s">
        <v>50</v>
      </c>
      <c r="B9" t="s">
        <v>51</v>
      </c>
      <c r="C9" t="s">
        <v>47</v>
      </c>
      <c r="D9" t="s">
        <v>32</v>
      </c>
      <c r="E9">
        <v>309</v>
      </c>
      <c r="F9">
        <v>57</v>
      </c>
      <c r="G9">
        <v>3</v>
      </c>
      <c r="H9" t="s">
        <v>52</v>
      </c>
    </row>
    <row r="10" spans="1:8" x14ac:dyDescent="0.35">
      <c r="A10" t="s">
        <v>8</v>
      </c>
      <c r="B10" t="s">
        <v>9</v>
      </c>
      <c r="C10" t="s">
        <v>10</v>
      </c>
      <c r="D10" t="s">
        <v>11</v>
      </c>
      <c r="E10">
        <v>335</v>
      </c>
      <c r="F10">
        <v>58</v>
      </c>
      <c r="G10">
        <v>1</v>
      </c>
      <c r="H10" t="s">
        <v>12</v>
      </c>
    </row>
    <row r="11" spans="1:8" x14ac:dyDescent="0.35">
      <c r="A11" t="s">
        <v>56</v>
      </c>
      <c r="B11" t="s">
        <v>30</v>
      </c>
      <c r="C11" t="s">
        <v>15</v>
      </c>
      <c r="D11" t="s">
        <v>16</v>
      </c>
      <c r="E11">
        <v>341</v>
      </c>
      <c r="F11">
        <v>26</v>
      </c>
      <c r="G11">
        <v>1</v>
      </c>
      <c r="H11" t="s">
        <v>37</v>
      </c>
    </row>
    <row r="12" spans="1:8" x14ac:dyDescent="0.35">
      <c r="A12" t="s">
        <v>72</v>
      </c>
      <c r="B12" t="s">
        <v>64</v>
      </c>
      <c r="C12" t="s">
        <v>47</v>
      </c>
      <c r="D12" t="s">
        <v>24</v>
      </c>
      <c r="E12">
        <v>358</v>
      </c>
      <c r="F12">
        <v>59</v>
      </c>
      <c r="G12">
        <v>2</v>
      </c>
      <c r="H12" t="s">
        <v>12</v>
      </c>
    </row>
    <row r="13" spans="1:8" x14ac:dyDescent="0.35">
      <c r="A13" t="s">
        <v>62</v>
      </c>
      <c r="B13" t="s">
        <v>51</v>
      </c>
      <c r="C13" t="s">
        <v>10</v>
      </c>
      <c r="D13" t="s">
        <v>32</v>
      </c>
      <c r="E13">
        <v>369</v>
      </c>
      <c r="F13">
        <v>40</v>
      </c>
      <c r="G13">
        <v>4</v>
      </c>
      <c r="H13" t="s">
        <v>60</v>
      </c>
    </row>
    <row r="14" spans="1:8" x14ac:dyDescent="0.35">
      <c r="A14" t="s">
        <v>79</v>
      </c>
      <c r="B14" t="s">
        <v>59</v>
      </c>
      <c r="C14" t="s">
        <v>31</v>
      </c>
      <c r="D14" t="s">
        <v>20</v>
      </c>
      <c r="E14">
        <v>372</v>
      </c>
      <c r="F14">
        <v>49</v>
      </c>
      <c r="G14">
        <v>4</v>
      </c>
      <c r="H14" t="s">
        <v>28</v>
      </c>
    </row>
    <row r="15" spans="1:8" x14ac:dyDescent="0.35">
      <c r="A15" t="s">
        <v>78</v>
      </c>
      <c r="B15" t="s">
        <v>14</v>
      </c>
      <c r="C15" t="s">
        <v>26</v>
      </c>
      <c r="D15" t="s">
        <v>20</v>
      </c>
      <c r="E15">
        <v>385</v>
      </c>
      <c r="F15">
        <v>35</v>
      </c>
      <c r="G15">
        <v>2</v>
      </c>
      <c r="H15" t="s">
        <v>60</v>
      </c>
    </row>
    <row r="16" spans="1:8" x14ac:dyDescent="0.35">
      <c r="A16" t="s">
        <v>88</v>
      </c>
      <c r="B16" t="s">
        <v>59</v>
      </c>
      <c r="C16" t="s">
        <v>26</v>
      </c>
      <c r="D16" t="s">
        <v>44</v>
      </c>
      <c r="E16">
        <v>399</v>
      </c>
      <c r="F16">
        <v>35</v>
      </c>
      <c r="G16">
        <v>5</v>
      </c>
      <c r="H16" t="s">
        <v>42</v>
      </c>
    </row>
    <row r="17" spans="1:8" x14ac:dyDescent="0.35">
      <c r="A17" t="s">
        <v>74</v>
      </c>
      <c r="B17" t="s">
        <v>51</v>
      </c>
      <c r="C17" t="s">
        <v>40</v>
      </c>
      <c r="D17" t="s">
        <v>11</v>
      </c>
      <c r="E17">
        <v>401</v>
      </c>
      <c r="F17">
        <v>37</v>
      </c>
      <c r="G17">
        <v>1</v>
      </c>
      <c r="H17" t="s">
        <v>17</v>
      </c>
    </row>
    <row r="18" spans="1:8" x14ac:dyDescent="0.35">
      <c r="A18" t="s">
        <v>13</v>
      </c>
      <c r="B18" t="s">
        <v>14</v>
      </c>
      <c r="C18" t="s">
        <v>15</v>
      </c>
      <c r="D18" t="s">
        <v>16</v>
      </c>
      <c r="E18">
        <v>404</v>
      </c>
      <c r="F18">
        <v>45</v>
      </c>
      <c r="G18">
        <v>3</v>
      </c>
      <c r="H18" t="s">
        <v>17</v>
      </c>
    </row>
    <row r="19" spans="1:8" x14ac:dyDescent="0.35">
      <c r="A19" t="s">
        <v>73</v>
      </c>
      <c r="B19" t="s">
        <v>19</v>
      </c>
      <c r="C19" t="s">
        <v>26</v>
      </c>
      <c r="D19" t="s">
        <v>24</v>
      </c>
      <c r="E19">
        <v>424</v>
      </c>
      <c r="F19">
        <v>40</v>
      </c>
      <c r="G19">
        <v>4</v>
      </c>
      <c r="H19" t="s">
        <v>66</v>
      </c>
    </row>
    <row r="20" spans="1:8" x14ac:dyDescent="0.35">
      <c r="A20" t="s">
        <v>22</v>
      </c>
      <c r="B20" t="s">
        <v>23</v>
      </c>
      <c r="C20" t="s">
        <v>15</v>
      </c>
      <c r="D20" t="s">
        <v>24</v>
      </c>
      <c r="E20">
        <v>428</v>
      </c>
      <c r="F20">
        <v>49</v>
      </c>
      <c r="G20">
        <v>1</v>
      </c>
      <c r="H20" t="s">
        <v>17</v>
      </c>
    </row>
    <row r="21" spans="1:8" x14ac:dyDescent="0.35">
      <c r="A21" t="s">
        <v>71</v>
      </c>
      <c r="B21" t="s">
        <v>51</v>
      </c>
      <c r="C21" t="s">
        <v>15</v>
      </c>
      <c r="D21" t="s">
        <v>24</v>
      </c>
      <c r="E21">
        <v>440</v>
      </c>
      <c r="F21">
        <v>38</v>
      </c>
      <c r="G21">
        <v>5</v>
      </c>
      <c r="H21" t="s">
        <v>52</v>
      </c>
    </row>
    <row r="22" spans="1:8" x14ac:dyDescent="0.35">
      <c r="A22" t="s">
        <v>77</v>
      </c>
      <c r="B22" t="s">
        <v>34</v>
      </c>
      <c r="C22" t="s">
        <v>47</v>
      </c>
      <c r="D22" t="s">
        <v>20</v>
      </c>
      <c r="E22">
        <v>450</v>
      </c>
      <c r="F22">
        <v>32</v>
      </c>
      <c r="G22">
        <v>5</v>
      </c>
      <c r="H22" t="s">
        <v>12</v>
      </c>
    </row>
    <row r="23" spans="1:8" x14ac:dyDescent="0.35">
      <c r="A23" t="s">
        <v>84</v>
      </c>
      <c r="B23" t="s">
        <v>39</v>
      </c>
      <c r="C23" t="s">
        <v>47</v>
      </c>
      <c r="D23" t="s">
        <v>44</v>
      </c>
      <c r="E23">
        <v>457</v>
      </c>
      <c r="F23">
        <v>43</v>
      </c>
      <c r="G23">
        <v>4</v>
      </c>
      <c r="H23" t="s">
        <v>35</v>
      </c>
    </row>
    <row r="24" spans="1:8" x14ac:dyDescent="0.35">
      <c r="A24" t="s">
        <v>90</v>
      </c>
      <c r="B24" t="s">
        <v>59</v>
      </c>
      <c r="C24" t="s">
        <v>31</v>
      </c>
      <c r="D24" t="s">
        <v>24</v>
      </c>
      <c r="E24">
        <v>463</v>
      </c>
      <c r="F24">
        <v>58</v>
      </c>
      <c r="G24">
        <v>5</v>
      </c>
      <c r="H24" t="s">
        <v>45</v>
      </c>
    </row>
    <row r="25" spans="1:8" x14ac:dyDescent="0.35">
      <c r="A25" t="s">
        <v>49</v>
      </c>
      <c r="B25" t="s">
        <v>9</v>
      </c>
      <c r="C25" t="s">
        <v>10</v>
      </c>
      <c r="D25" t="s">
        <v>32</v>
      </c>
      <c r="E25">
        <v>469</v>
      </c>
      <c r="F25">
        <v>37</v>
      </c>
      <c r="G25">
        <v>3</v>
      </c>
      <c r="H25" t="s">
        <v>35</v>
      </c>
    </row>
    <row r="26" spans="1:8" x14ac:dyDescent="0.35">
      <c r="A26" t="s">
        <v>61</v>
      </c>
      <c r="B26" t="s">
        <v>30</v>
      </c>
      <c r="C26" t="s">
        <v>31</v>
      </c>
      <c r="D26" t="s">
        <v>27</v>
      </c>
      <c r="E26">
        <v>472</v>
      </c>
      <c r="F26">
        <v>22</v>
      </c>
      <c r="G26">
        <v>3</v>
      </c>
      <c r="H26" t="s">
        <v>45</v>
      </c>
    </row>
    <row r="27" spans="1:8" x14ac:dyDescent="0.35">
      <c r="A27" t="s">
        <v>75</v>
      </c>
      <c r="B27" t="s">
        <v>14</v>
      </c>
      <c r="C27" t="s">
        <v>15</v>
      </c>
      <c r="D27" t="s">
        <v>44</v>
      </c>
      <c r="E27">
        <v>486</v>
      </c>
      <c r="F27">
        <v>33</v>
      </c>
      <c r="G27">
        <v>4</v>
      </c>
      <c r="H27" t="s">
        <v>12</v>
      </c>
    </row>
    <row r="28" spans="1:8" x14ac:dyDescent="0.35">
      <c r="A28" t="s">
        <v>86</v>
      </c>
      <c r="B28" t="s">
        <v>51</v>
      </c>
      <c r="C28" t="s">
        <v>47</v>
      </c>
      <c r="D28" t="s">
        <v>27</v>
      </c>
      <c r="E28">
        <v>493</v>
      </c>
      <c r="F28">
        <v>29</v>
      </c>
      <c r="G28">
        <v>0</v>
      </c>
      <c r="H28" t="s">
        <v>66</v>
      </c>
    </row>
    <row r="29" spans="1:8" x14ac:dyDescent="0.35">
      <c r="A29" t="s">
        <v>36</v>
      </c>
      <c r="B29" t="s">
        <v>30</v>
      </c>
      <c r="C29" t="s">
        <v>31</v>
      </c>
      <c r="D29" t="s">
        <v>11</v>
      </c>
      <c r="E29">
        <v>496</v>
      </c>
      <c r="F29">
        <v>31</v>
      </c>
      <c r="G29">
        <v>4</v>
      </c>
      <c r="H29" t="s">
        <v>37</v>
      </c>
    </row>
    <row r="30" spans="1:8" x14ac:dyDescent="0.35">
      <c r="A30" t="s">
        <v>91</v>
      </c>
      <c r="B30" t="s">
        <v>64</v>
      </c>
      <c r="C30" t="s">
        <v>40</v>
      </c>
      <c r="D30" t="s">
        <v>20</v>
      </c>
      <c r="E30">
        <v>521</v>
      </c>
      <c r="F30">
        <v>32</v>
      </c>
      <c r="G30">
        <v>1</v>
      </c>
      <c r="H30" t="s">
        <v>17</v>
      </c>
    </row>
    <row r="31" spans="1:8" x14ac:dyDescent="0.35">
      <c r="A31" t="s">
        <v>25</v>
      </c>
      <c r="B31" t="s">
        <v>14</v>
      </c>
      <c r="C31" t="s">
        <v>26</v>
      </c>
      <c r="D31" t="s">
        <v>27</v>
      </c>
      <c r="E31">
        <v>553</v>
      </c>
      <c r="F31">
        <v>25</v>
      </c>
      <c r="G31">
        <v>5</v>
      </c>
      <c r="H31" t="s">
        <v>28</v>
      </c>
    </row>
    <row r="32" spans="1:8" x14ac:dyDescent="0.35">
      <c r="A32" t="s">
        <v>53</v>
      </c>
      <c r="B32" t="s">
        <v>9</v>
      </c>
      <c r="C32" t="s">
        <v>40</v>
      </c>
      <c r="D32" t="s">
        <v>54</v>
      </c>
      <c r="E32">
        <v>554</v>
      </c>
      <c r="F32">
        <v>22</v>
      </c>
      <c r="G32">
        <v>5</v>
      </c>
      <c r="H32" t="s">
        <v>35</v>
      </c>
    </row>
    <row r="33" spans="1:8" x14ac:dyDescent="0.35">
      <c r="A33" t="s">
        <v>29</v>
      </c>
      <c r="B33" t="s">
        <v>30</v>
      </c>
      <c r="C33" t="s">
        <v>31</v>
      </c>
      <c r="D33" t="s">
        <v>32</v>
      </c>
      <c r="E33">
        <v>576</v>
      </c>
      <c r="F33">
        <v>21</v>
      </c>
      <c r="G33">
        <v>2</v>
      </c>
      <c r="H33" t="s">
        <v>17</v>
      </c>
    </row>
    <row r="34" spans="1:8" x14ac:dyDescent="0.35">
      <c r="A34" t="s">
        <v>76</v>
      </c>
      <c r="B34" t="s">
        <v>34</v>
      </c>
      <c r="C34" t="s">
        <v>40</v>
      </c>
      <c r="D34" t="s">
        <v>11</v>
      </c>
      <c r="E34">
        <v>581</v>
      </c>
      <c r="F34">
        <v>-5</v>
      </c>
      <c r="G34">
        <v>4</v>
      </c>
      <c r="H34" t="s">
        <v>35</v>
      </c>
    </row>
    <row r="35" spans="1:8" x14ac:dyDescent="0.35">
      <c r="A35" t="s">
        <v>58</v>
      </c>
      <c r="B35" t="s">
        <v>59</v>
      </c>
      <c r="C35" t="s">
        <v>10</v>
      </c>
      <c r="D35" t="s">
        <v>11</v>
      </c>
      <c r="E35">
        <v>588</v>
      </c>
      <c r="F35">
        <v>39</v>
      </c>
      <c r="G35">
        <v>4</v>
      </c>
      <c r="H35" t="s">
        <v>60</v>
      </c>
    </row>
    <row r="36" spans="1:8" x14ac:dyDescent="0.35">
      <c r="A36" t="s">
        <v>70</v>
      </c>
      <c r="B36" t="s">
        <v>30</v>
      </c>
      <c r="C36" t="s">
        <v>40</v>
      </c>
      <c r="D36" t="s">
        <v>11</v>
      </c>
      <c r="E36">
        <v>604</v>
      </c>
      <c r="F36">
        <v>46</v>
      </c>
      <c r="G36">
        <v>0</v>
      </c>
      <c r="H36" t="s">
        <v>28</v>
      </c>
    </row>
    <row r="37" spans="1:8" x14ac:dyDescent="0.35">
      <c r="A37" t="s">
        <v>67</v>
      </c>
      <c r="B37" t="s">
        <v>19</v>
      </c>
      <c r="C37" t="s">
        <v>47</v>
      </c>
      <c r="D37" t="s">
        <v>44</v>
      </c>
      <c r="E37">
        <v>605</v>
      </c>
      <c r="F37">
        <v>47</v>
      </c>
      <c r="G37">
        <v>1</v>
      </c>
      <c r="H37" t="s">
        <v>45</v>
      </c>
    </row>
    <row r="38" spans="1:8" x14ac:dyDescent="0.35">
      <c r="A38" t="s">
        <v>87</v>
      </c>
      <c r="B38" t="s">
        <v>19</v>
      </c>
      <c r="C38" t="s">
        <v>47</v>
      </c>
      <c r="D38" t="s">
        <v>32</v>
      </c>
      <c r="E38">
        <v>605</v>
      </c>
      <c r="F38">
        <v>39</v>
      </c>
      <c r="G38">
        <v>2</v>
      </c>
      <c r="H38" t="s">
        <v>45</v>
      </c>
    </row>
    <row r="39" spans="1:8" x14ac:dyDescent="0.35">
      <c r="A39" t="s">
        <v>68</v>
      </c>
      <c r="B39" t="s">
        <v>34</v>
      </c>
      <c r="C39" t="s">
        <v>47</v>
      </c>
      <c r="D39" t="s">
        <v>20</v>
      </c>
      <c r="E39">
        <v>610</v>
      </c>
      <c r="F39">
        <v>31</v>
      </c>
      <c r="G39">
        <v>3</v>
      </c>
      <c r="H39" t="s">
        <v>45</v>
      </c>
    </row>
    <row r="40" spans="1:8" x14ac:dyDescent="0.35">
      <c r="A40" t="s">
        <v>55</v>
      </c>
      <c r="B40" t="s">
        <v>34</v>
      </c>
      <c r="C40" t="s">
        <v>31</v>
      </c>
      <c r="D40" t="s">
        <v>32</v>
      </c>
      <c r="E40">
        <v>612</v>
      </c>
      <c r="F40">
        <v>55</v>
      </c>
      <c r="G40">
        <v>3</v>
      </c>
      <c r="H40" t="s">
        <v>28</v>
      </c>
    </row>
    <row r="41" spans="1:8" x14ac:dyDescent="0.35">
      <c r="A41" t="s">
        <v>43</v>
      </c>
      <c r="B41" t="s">
        <v>19</v>
      </c>
      <c r="C41" t="s">
        <v>40</v>
      </c>
      <c r="D41" t="s">
        <v>44</v>
      </c>
      <c r="E41">
        <v>631</v>
      </c>
      <c r="F41">
        <v>30</v>
      </c>
      <c r="G41">
        <v>2</v>
      </c>
      <c r="H41" t="s">
        <v>45</v>
      </c>
    </row>
    <row r="42" spans="1:8" x14ac:dyDescent="0.35">
      <c r="A42" t="s">
        <v>18</v>
      </c>
      <c r="B42" t="s">
        <v>19</v>
      </c>
      <c r="C42" t="s">
        <v>15</v>
      </c>
      <c r="D42" t="s">
        <v>20</v>
      </c>
      <c r="E42">
        <v>637</v>
      </c>
      <c r="F42">
        <v>52</v>
      </c>
      <c r="G42">
        <v>5</v>
      </c>
      <c r="H42" t="s">
        <v>21</v>
      </c>
    </row>
    <row r="43" spans="1:8" x14ac:dyDescent="0.35">
      <c r="A43" t="s">
        <v>89</v>
      </c>
      <c r="B43" t="s">
        <v>39</v>
      </c>
      <c r="C43" t="s">
        <v>47</v>
      </c>
      <c r="D43" t="s">
        <v>24</v>
      </c>
      <c r="E43">
        <v>679</v>
      </c>
      <c r="F43">
        <v>25</v>
      </c>
      <c r="G43">
        <v>0</v>
      </c>
      <c r="H43" t="s">
        <v>42</v>
      </c>
    </row>
    <row r="44" spans="1:8" x14ac:dyDescent="0.35">
      <c r="A44" t="s">
        <v>63</v>
      </c>
      <c r="B44" t="s">
        <v>64</v>
      </c>
      <c r="C44" t="s">
        <v>26</v>
      </c>
      <c r="D44" t="s">
        <v>32</v>
      </c>
      <c r="E44">
        <v>697</v>
      </c>
      <c r="F44">
        <v>29</v>
      </c>
      <c r="G44">
        <v>0</v>
      </c>
      <c r="H44" t="s">
        <v>35</v>
      </c>
    </row>
    <row r="45" spans="1:8" x14ac:dyDescent="0.35">
      <c r="A45" t="s">
        <v>80</v>
      </c>
      <c r="B45" t="s">
        <v>9</v>
      </c>
      <c r="C45" t="s">
        <v>40</v>
      </c>
      <c r="D45" t="s">
        <v>54</v>
      </c>
      <c r="E45">
        <v>705</v>
      </c>
      <c r="F45">
        <v>47</v>
      </c>
      <c r="G45">
        <v>3</v>
      </c>
      <c r="H45" t="s">
        <v>37</v>
      </c>
    </row>
    <row r="46" spans="1:8" x14ac:dyDescent="0.35">
      <c r="A46" t="s">
        <v>46</v>
      </c>
      <c r="B46" t="s">
        <v>39</v>
      </c>
      <c r="C46" t="s">
        <v>47</v>
      </c>
      <c r="D46" t="s">
        <v>11</v>
      </c>
      <c r="E46">
        <v>722</v>
      </c>
      <c r="F46">
        <v>29</v>
      </c>
      <c r="G46">
        <v>4</v>
      </c>
      <c r="H46" t="s">
        <v>45</v>
      </c>
    </row>
    <row r="47" spans="1:8" x14ac:dyDescent="0.35">
      <c r="A47" t="s">
        <v>33</v>
      </c>
      <c r="B47" t="s">
        <v>34</v>
      </c>
      <c r="C47" t="s">
        <v>31</v>
      </c>
      <c r="D47" t="s">
        <v>24</v>
      </c>
      <c r="E47">
        <v>732</v>
      </c>
      <c r="F47">
        <v>46</v>
      </c>
      <c r="G47">
        <v>0</v>
      </c>
      <c r="H47" t="s">
        <v>35</v>
      </c>
    </row>
    <row r="48" spans="1:8" x14ac:dyDescent="0.35">
      <c r="A48" t="s">
        <v>57</v>
      </c>
      <c r="B48" t="s">
        <v>14</v>
      </c>
      <c r="C48" t="s">
        <v>26</v>
      </c>
      <c r="D48" t="s">
        <v>32</v>
      </c>
      <c r="E48">
        <v>733</v>
      </c>
      <c r="F48">
        <v>57</v>
      </c>
      <c r="G48">
        <v>5</v>
      </c>
      <c r="H48" t="s">
        <v>35</v>
      </c>
    </row>
    <row r="49" spans="1:8" x14ac:dyDescent="0.35">
      <c r="A49" t="s">
        <v>85</v>
      </c>
      <c r="B49" t="s">
        <v>34</v>
      </c>
      <c r="C49" t="s">
        <v>40</v>
      </c>
      <c r="D49" t="s">
        <v>20</v>
      </c>
      <c r="E49">
        <v>756</v>
      </c>
      <c r="F49">
        <v>35</v>
      </c>
      <c r="G49">
        <v>0</v>
      </c>
      <c r="H49" t="s">
        <v>42</v>
      </c>
    </row>
    <row r="50" spans="1:8" x14ac:dyDescent="0.35">
      <c r="A50" t="s">
        <v>38</v>
      </c>
      <c r="B50" t="s">
        <v>39</v>
      </c>
      <c r="C50" t="s">
        <v>40</v>
      </c>
      <c r="D50" t="s">
        <v>16</v>
      </c>
      <c r="E50">
        <v>778</v>
      </c>
      <c r="F50">
        <v>43</v>
      </c>
      <c r="G50">
        <v>4</v>
      </c>
      <c r="H50" t="s">
        <v>37</v>
      </c>
    </row>
    <row r="51" spans="1:8" x14ac:dyDescent="0.35">
      <c r="A51" t="s">
        <v>83</v>
      </c>
      <c r="B51" t="s">
        <v>39</v>
      </c>
      <c r="C51" t="s">
        <v>26</v>
      </c>
      <c r="D51" t="s">
        <v>54</v>
      </c>
      <c r="E51">
        <v>786</v>
      </c>
      <c r="F51">
        <v>35</v>
      </c>
      <c r="G51">
        <v>5</v>
      </c>
      <c r="H51" t="s">
        <v>21</v>
      </c>
    </row>
    <row r="52" spans="1:8" x14ac:dyDescent="0.35">
      <c r="E52">
        <f>SUBTOTAL(109,Table1[Order_Value])</f>
        <v>24811</v>
      </c>
      <c r="F52">
        <f>AVERAGE(F2:F51)</f>
        <v>38.54</v>
      </c>
      <c r="G52">
        <f>SUBTOTAL(101,Table1[Rating])</f>
        <v>2.84</v>
      </c>
    </row>
  </sheetData>
  <conditionalFormatting sqref="A1:XFD1">
    <cfRule type="duplicateValues" dxfId="0" priority="1"/>
  </conditionalFormatting>
  <pageMargins left="0.75" right="0.75" top="1" bottom="1" header="0.5" footer="0.5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91333-EFB9-4996-8D8B-E23A5D66A53D}">
  <dimension ref="A1:B11"/>
  <sheetViews>
    <sheetView workbookViewId="0">
      <selection activeCell="B2" sqref="B2:B10"/>
    </sheetView>
  </sheetViews>
  <sheetFormatPr defaultRowHeight="14.5" x14ac:dyDescent="0.35"/>
  <cols>
    <col min="2" max="2" width="9.90625" bestFit="1" customWidth="1"/>
  </cols>
  <sheetData>
    <row r="1" spans="1:2" x14ac:dyDescent="0.35">
      <c r="A1" s="3" t="s">
        <v>113</v>
      </c>
      <c r="B1" s="3" t="s">
        <v>93</v>
      </c>
    </row>
    <row r="2" spans="1:2" x14ac:dyDescent="0.35">
      <c r="A2" t="s">
        <v>115</v>
      </c>
      <c r="B2" s="4">
        <v>1000</v>
      </c>
    </row>
    <row r="3" spans="1:2" x14ac:dyDescent="0.35">
      <c r="A3" t="s">
        <v>114</v>
      </c>
      <c r="B3" s="4">
        <v>2000</v>
      </c>
    </row>
    <row r="4" spans="1:2" x14ac:dyDescent="0.35">
      <c r="A4" t="s">
        <v>116</v>
      </c>
      <c r="B4" s="4">
        <v>3000</v>
      </c>
    </row>
    <row r="5" spans="1:2" x14ac:dyDescent="0.35">
      <c r="A5" t="s">
        <v>117</v>
      </c>
      <c r="B5" s="4">
        <v>5000</v>
      </c>
    </row>
    <row r="6" spans="1:2" x14ac:dyDescent="0.35">
      <c r="A6" t="s">
        <v>118</v>
      </c>
      <c r="B6" s="4">
        <v>7000</v>
      </c>
    </row>
    <row r="7" spans="1:2" x14ac:dyDescent="0.35">
      <c r="A7" s="2" t="s">
        <v>107</v>
      </c>
      <c r="B7" s="4">
        <f>SUM(B2:B6)</f>
        <v>18000</v>
      </c>
    </row>
    <row r="8" spans="1:2" x14ac:dyDescent="0.35">
      <c r="A8" s="2" t="s">
        <v>106</v>
      </c>
      <c r="B8" s="4">
        <f>AVERAGE(B2:B6)</f>
        <v>3600</v>
      </c>
    </row>
    <row r="9" spans="1:2" x14ac:dyDescent="0.35">
      <c r="A9" s="2" t="s">
        <v>119</v>
      </c>
      <c r="B9" s="4">
        <f>MAX(B2:B6)</f>
        <v>7000</v>
      </c>
    </row>
    <row r="10" spans="1:2" x14ac:dyDescent="0.35">
      <c r="A10" s="2" t="s">
        <v>120</v>
      </c>
      <c r="B10" s="4">
        <f>MIN(B2:B6)</f>
        <v>1000</v>
      </c>
    </row>
    <row r="11" spans="1:2" x14ac:dyDescent="0.35">
      <c r="A11" s="2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FCDFD-2E50-460A-ADC3-DF1ACC7AF186}">
  <dimension ref="A1:N15"/>
  <sheetViews>
    <sheetView workbookViewId="0">
      <selection activeCell="J2" sqref="J2"/>
    </sheetView>
  </sheetViews>
  <sheetFormatPr defaultRowHeight="14.5" x14ac:dyDescent="0.35"/>
  <cols>
    <col min="1" max="1" width="10.54296875" customWidth="1"/>
    <col min="2" max="2" width="10.36328125" customWidth="1"/>
    <col min="10" max="10" width="9.08984375" bestFit="1" customWidth="1"/>
  </cols>
  <sheetData>
    <row r="1" spans="1:14" x14ac:dyDescent="0.3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107</v>
      </c>
      <c r="H1" s="1" t="s">
        <v>106</v>
      </c>
      <c r="J1" s="1" t="s">
        <v>110</v>
      </c>
      <c r="L1" s="1" t="s">
        <v>111</v>
      </c>
      <c r="N1" s="1" t="s">
        <v>112</v>
      </c>
    </row>
    <row r="2" spans="1:14" x14ac:dyDescent="0.35">
      <c r="A2" t="s">
        <v>100</v>
      </c>
      <c r="B2">
        <v>85</v>
      </c>
      <c r="C2">
        <v>75</v>
      </c>
      <c r="D2">
        <v>65</v>
      </c>
      <c r="E2">
        <v>75</v>
      </c>
      <c r="F2">
        <v>75</v>
      </c>
      <c r="G2">
        <f>SUM(B2:F2)</f>
        <v>375</v>
      </c>
      <c r="H2">
        <f>AVERAGE(B2:F2)</f>
        <v>75</v>
      </c>
      <c r="J2" t="str">
        <f>IF(AND(H2&gt;90,H2&lt;=100),"A grade"," B grade")</f>
        <v xml:space="preserve"> B grade</v>
      </c>
      <c r="L2" t="str">
        <f>IF(OR(H2&gt;90,H2&lt;=100),"A grade"," B grade")</f>
        <v>A grade</v>
      </c>
      <c r="N2" t="b">
        <f>NOT(E2&gt;60)</f>
        <v>0</v>
      </c>
    </row>
    <row r="3" spans="1:14" x14ac:dyDescent="0.35">
      <c r="A3" t="s">
        <v>14</v>
      </c>
      <c r="B3">
        <v>88</v>
      </c>
      <c r="C3">
        <v>98</v>
      </c>
      <c r="D3">
        <v>48</v>
      </c>
      <c r="E3">
        <v>58</v>
      </c>
      <c r="F3">
        <v>68</v>
      </c>
      <c r="G3">
        <f t="shared" ref="G3:G8" si="0">SUM(B3:F3)</f>
        <v>360</v>
      </c>
      <c r="H3">
        <f t="shared" ref="H3:H8" si="1">AVERAGE(B3:F3)</f>
        <v>72</v>
      </c>
      <c r="J3" t="str">
        <f>IF(AND(H3&gt;90,H3&lt;=100),"A grade"," B grade")</f>
        <v xml:space="preserve"> B grade</v>
      </c>
      <c r="L3" t="str">
        <f t="shared" ref="L3:L8" si="2">IF(OR(H3&gt;90,H3&lt;=100),"A grade"," B grade")</f>
        <v>A grade</v>
      </c>
      <c r="N3" t="b">
        <f t="shared" ref="N3:N8" si="3">NOT(E3&gt;60)</f>
        <v>1</v>
      </c>
    </row>
    <row r="4" spans="1:14" x14ac:dyDescent="0.35">
      <c r="A4" t="s">
        <v>101</v>
      </c>
      <c r="B4">
        <v>50</v>
      </c>
      <c r="C4">
        <v>60</v>
      </c>
      <c r="D4">
        <v>70</v>
      </c>
      <c r="E4">
        <v>80</v>
      </c>
      <c r="F4">
        <v>90</v>
      </c>
      <c r="G4">
        <f t="shared" si="0"/>
        <v>350</v>
      </c>
      <c r="H4">
        <f t="shared" si="1"/>
        <v>70</v>
      </c>
      <c r="J4" t="str">
        <f t="shared" ref="J4:J8" si="4">IF(AND(H4&gt;90,H4&lt;=100),"A grade"," B grade")</f>
        <v xml:space="preserve"> B grade</v>
      </c>
      <c r="L4" t="str">
        <f t="shared" si="2"/>
        <v>A grade</v>
      </c>
      <c r="N4" t="b">
        <f t="shared" si="3"/>
        <v>0</v>
      </c>
    </row>
    <row r="5" spans="1:14" x14ac:dyDescent="0.35">
      <c r="A5" t="s">
        <v>102</v>
      </c>
      <c r="B5">
        <v>60</v>
      </c>
      <c r="C5">
        <v>65</v>
      </c>
      <c r="D5">
        <v>70</v>
      </c>
      <c r="E5">
        <v>75</v>
      </c>
      <c r="F5">
        <v>80</v>
      </c>
      <c r="G5">
        <f t="shared" si="0"/>
        <v>350</v>
      </c>
      <c r="H5">
        <f t="shared" si="1"/>
        <v>70</v>
      </c>
      <c r="J5" t="str">
        <f t="shared" si="4"/>
        <v xml:space="preserve"> B grade</v>
      </c>
      <c r="L5" t="str">
        <f t="shared" si="2"/>
        <v>A grade</v>
      </c>
      <c r="N5" t="b">
        <f t="shared" si="3"/>
        <v>0</v>
      </c>
    </row>
    <row r="6" spans="1:14" x14ac:dyDescent="0.35">
      <c r="A6" t="s">
        <v>103</v>
      </c>
      <c r="B6">
        <v>75</v>
      </c>
      <c r="C6">
        <v>78</v>
      </c>
      <c r="D6">
        <v>45</v>
      </c>
      <c r="E6">
        <v>46</v>
      </c>
      <c r="F6">
        <v>95</v>
      </c>
      <c r="G6">
        <f t="shared" si="0"/>
        <v>339</v>
      </c>
      <c r="H6">
        <f t="shared" si="1"/>
        <v>67.8</v>
      </c>
      <c r="J6" t="str">
        <f t="shared" si="4"/>
        <v xml:space="preserve"> B grade</v>
      </c>
      <c r="L6" t="str">
        <f t="shared" si="2"/>
        <v>A grade</v>
      </c>
      <c r="N6" t="b">
        <f t="shared" si="3"/>
        <v>1</v>
      </c>
    </row>
    <row r="7" spans="1:14" x14ac:dyDescent="0.35">
      <c r="A7" t="s">
        <v>104</v>
      </c>
      <c r="B7">
        <v>78</v>
      </c>
      <c r="C7">
        <v>88</v>
      </c>
      <c r="D7">
        <v>85</v>
      </c>
      <c r="E7">
        <v>87</v>
      </c>
      <c r="F7">
        <v>95</v>
      </c>
      <c r="G7">
        <f t="shared" si="0"/>
        <v>433</v>
      </c>
      <c r="H7">
        <f t="shared" si="1"/>
        <v>86.6</v>
      </c>
      <c r="J7" t="str">
        <f t="shared" si="4"/>
        <v xml:space="preserve"> B grade</v>
      </c>
      <c r="L7" t="str">
        <f t="shared" si="2"/>
        <v>A grade</v>
      </c>
      <c r="N7" t="b">
        <f t="shared" si="3"/>
        <v>0</v>
      </c>
    </row>
    <row r="8" spans="1:14" x14ac:dyDescent="0.35">
      <c r="A8" t="s">
        <v>105</v>
      </c>
      <c r="B8">
        <v>66</v>
      </c>
      <c r="C8">
        <v>69</v>
      </c>
      <c r="D8">
        <v>85</v>
      </c>
      <c r="E8">
        <v>88</v>
      </c>
      <c r="F8">
        <v>90</v>
      </c>
      <c r="G8">
        <f t="shared" si="0"/>
        <v>398</v>
      </c>
      <c r="H8">
        <f t="shared" si="1"/>
        <v>79.599999999999994</v>
      </c>
      <c r="J8" t="str">
        <f t="shared" si="4"/>
        <v xml:space="preserve"> B grade</v>
      </c>
      <c r="L8" t="str">
        <f t="shared" si="2"/>
        <v>A grade</v>
      </c>
      <c r="N8" t="b">
        <f t="shared" si="3"/>
        <v>0</v>
      </c>
    </row>
    <row r="10" spans="1:14" x14ac:dyDescent="0.35">
      <c r="A10" s="1" t="s">
        <v>109</v>
      </c>
      <c r="B10" s="1" t="s">
        <v>108</v>
      </c>
    </row>
    <row r="11" spans="1:14" x14ac:dyDescent="0.35">
      <c r="A11">
        <v>75</v>
      </c>
      <c r="B11" t="str">
        <f>IF(A11&gt;70,"pass","fail")</f>
        <v>pass</v>
      </c>
    </row>
    <row r="12" spans="1:14" x14ac:dyDescent="0.35">
      <c r="A12">
        <v>85</v>
      </c>
      <c r="B12" t="str">
        <f t="shared" ref="B12:B15" si="5">IF(A12&gt;70,"pass","fail")</f>
        <v>pass</v>
      </c>
    </row>
    <row r="13" spans="1:14" x14ac:dyDescent="0.35">
      <c r="A13">
        <v>65</v>
      </c>
      <c r="B13" t="str">
        <f t="shared" si="5"/>
        <v>fail</v>
      </c>
    </row>
    <row r="14" spans="1:14" x14ac:dyDescent="0.35">
      <c r="A14">
        <v>62</v>
      </c>
      <c r="B14" t="str">
        <f t="shared" si="5"/>
        <v>fail</v>
      </c>
    </row>
    <row r="15" spans="1:14" x14ac:dyDescent="0.35">
      <c r="A15">
        <v>60</v>
      </c>
      <c r="B15" t="str">
        <f t="shared" si="5"/>
        <v>fail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45499-31B0-45EC-BD0E-25306EE63346}">
  <dimension ref="A1:G11"/>
  <sheetViews>
    <sheetView workbookViewId="0">
      <selection activeCell="B9" sqref="B9"/>
    </sheetView>
  </sheetViews>
  <sheetFormatPr defaultRowHeight="14.5" x14ac:dyDescent="0.35"/>
  <cols>
    <col min="1" max="1" width="10.7265625" customWidth="1"/>
    <col min="2" max="2" width="12" customWidth="1"/>
  </cols>
  <sheetData>
    <row r="1" spans="1:7" x14ac:dyDescent="0.35">
      <c r="A1" s="3" t="s">
        <v>124</v>
      </c>
      <c r="B1" s="1" t="s">
        <v>131</v>
      </c>
    </row>
    <row r="2" spans="1:7" x14ac:dyDescent="0.35">
      <c r="A2" t="s">
        <v>122</v>
      </c>
      <c r="B2" s="6">
        <v>7500</v>
      </c>
    </row>
    <row r="3" spans="1:7" x14ac:dyDescent="0.35">
      <c r="A3" t="s">
        <v>123</v>
      </c>
      <c r="B3" s="6">
        <v>3000</v>
      </c>
    </row>
    <row r="4" spans="1:7" x14ac:dyDescent="0.35">
      <c r="A4" t="s">
        <v>125</v>
      </c>
      <c r="B4" s="6">
        <v>2500</v>
      </c>
    </row>
    <row r="5" spans="1:7" x14ac:dyDescent="0.35">
      <c r="A5" t="s">
        <v>126</v>
      </c>
      <c r="B5" s="6">
        <v>700</v>
      </c>
    </row>
    <row r="6" spans="1:7" x14ac:dyDescent="0.35">
      <c r="A6" t="s">
        <v>127</v>
      </c>
      <c r="B6" s="6">
        <v>500</v>
      </c>
    </row>
    <row r="7" spans="1:7" x14ac:dyDescent="0.35">
      <c r="A7" t="s">
        <v>128</v>
      </c>
      <c r="B7" s="6">
        <v>5000</v>
      </c>
    </row>
    <row r="8" spans="1:7" x14ac:dyDescent="0.35">
      <c r="A8" s="2" t="s">
        <v>107</v>
      </c>
      <c r="B8" s="6">
        <f>SUM(B2:B7)</f>
        <v>19200</v>
      </c>
    </row>
    <row r="9" spans="1:7" x14ac:dyDescent="0.35">
      <c r="A9" s="2" t="s">
        <v>106</v>
      </c>
      <c r="B9" s="6">
        <f>AVERAGE(B2:B7)</f>
        <v>3200</v>
      </c>
    </row>
    <row r="10" spans="1:7" x14ac:dyDescent="0.35">
      <c r="A10" s="2" t="s">
        <v>129</v>
      </c>
      <c r="B10" s="6">
        <f>MAX(B2:B7)</f>
        <v>7500</v>
      </c>
      <c r="G10" s="5"/>
    </row>
    <row r="11" spans="1:7" x14ac:dyDescent="0.35">
      <c r="A11" s="2" t="s">
        <v>130</v>
      </c>
      <c r="B11" s="6">
        <f>MIN(B2:B7)</f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2ABD4-972C-4B95-BF38-44D45BD6A8C8}">
  <dimension ref="A1:F14"/>
  <sheetViews>
    <sheetView workbookViewId="0">
      <selection sqref="A1:F11"/>
    </sheetView>
  </sheetViews>
  <sheetFormatPr defaultRowHeight="14.5" x14ac:dyDescent="0.35"/>
  <cols>
    <col min="1" max="1" width="11.36328125" customWidth="1"/>
    <col min="2" max="2" width="15.90625" customWidth="1"/>
    <col min="3" max="3" width="11.1796875" customWidth="1"/>
    <col min="4" max="4" width="13.90625" style="7" customWidth="1"/>
    <col min="5" max="5" width="14.36328125" style="7" customWidth="1"/>
    <col min="6" max="6" width="17.54296875" customWidth="1"/>
  </cols>
  <sheetData>
    <row r="1" spans="1:6" x14ac:dyDescent="0.35">
      <c r="A1" s="7" t="s">
        <v>132</v>
      </c>
      <c r="B1" s="7" t="s">
        <v>133</v>
      </c>
      <c r="C1" s="7" t="s">
        <v>134</v>
      </c>
      <c r="D1" s="7" t="s">
        <v>151</v>
      </c>
      <c r="E1" s="7" t="s">
        <v>138</v>
      </c>
      <c r="F1" s="7" t="s">
        <v>157</v>
      </c>
    </row>
    <row r="2" spans="1:6" x14ac:dyDescent="0.35">
      <c r="A2" s="7" t="s">
        <v>132</v>
      </c>
      <c r="B2" s="7" t="s">
        <v>133</v>
      </c>
      <c r="C2" s="7" t="s">
        <v>134</v>
      </c>
      <c r="D2" s="7" t="s">
        <v>151</v>
      </c>
      <c r="E2" s="7" t="s">
        <v>138</v>
      </c>
      <c r="F2" s="7" t="str">
        <f t="shared" ref="F2:F10" si="0">IF(E2&gt;15000,IF(E2&gt;40000, "Premium customer", "Golden customer"), "Normal customer")</f>
        <v>Premium customer</v>
      </c>
    </row>
    <row r="3" spans="1:6" x14ac:dyDescent="0.35">
      <c r="A3" s="7" t="s">
        <v>135</v>
      </c>
      <c r="B3" s="7" t="s">
        <v>14</v>
      </c>
      <c r="C3" s="7" t="s">
        <v>147</v>
      </c>
      <c r="D3" s="7" t="s">
        <v>152</v>
      </c>
      <c r="E3" s="8">
        <v>75000</v>
      </c>
      <c r="F3" s="7" t="str">
        <f t="shared" si="0"/>
        <v>Premium customer</v>
      </c>
    </row>
    <row r="4" spans="1:6" x14ac:dyDescent="0.35">
      <c r="A4" s="7" t="s">
        <v>136</v>
      </c>
      <c r="B4" s="7" t="s">
        <v>144</v>
      </c>
      <c r="C4" s="7" t="s">
        <v>148</v>
      </c>
      <c r="D4" s="7" t="s">
        <v>153</v>
      </c>
      <c r="E4" s="8">
        <v>60000</v>
      </c>
      <c r="F4" s="7" t="str">
        <f t="shared" si="0"/>
        <v>Premium customer</v>
      </c>
    </row>
    <row r="5" spans="1:6" x14ac:dyDescent="0.35">
      <c r="A5" s="7" t="s">
        <v>137</v>
      </c>
      <c r="B5" s="7" t="s">
        <v>145</v>
      </c>
      <c r="C5" s="7" t="s">
        <v>149</v>
      </c>
      <c r="D5" s="7" t="s">
        <v>154</v>
      </c>
      <c r="E5" s="8">
        <v>5000</v>
      </c>
      <c r="F5" s="7" t="str">
        <f t="shared" si="0"/>
        <v>Normal customer</v>
      </c>
    </row>
    <row r="6" spans="1:6" x14ac:dyDescent="0.35">
      <c r="A6" s="7" t="s">
        <v>139</v>
      </c>
      <c r="B6" s="7" t="s">
        <v>101</v>
      </c>
      <c r="C6" s="7" t="s">
        <v>148</v>
      </c>
      <c r="D6" s="7" t="s">
        <v>155</v>
      </c>
      <c r="E6" s="8">
        <v>1000</v>
      </c>
      <c r="F6" s="7" t="str">
        <f t="shared" si="0"/>
        <v>Normal customer</v>
      </c>
    </row>
    <row r="7" spans="1:6" x14ac:dyDescent="0.35">
      <c r="A7" s="7" t="s">
        <v>140</v>
      </c>
      <c r="B7" s="7" t="s">
        <v>102</v>
      </c>
      <c r="C7" s="7" t="s">
        <v>147</v>
      </c>
      <c r="D7" s="7" t="s">
        <v>156</v>
      </c>
      <c r="E7" s="8">
        <v>20000</v>
      </c>
      <c r="F7" s="7" t="str">
        <f t="shared" si="0"/>
        <v>Golden customer</v>
      </c>
    </row>
    <row r="8" spans="1:6" x14ac:dyDescent="0.35">
      <c r="A8" s="7" t="s">
        <v>141</v>
      </c>
      <c r="B8" s="7" t="s">
        <v>146</v>
      </c>
      <c r="C8" s="7" t="s">
        <v>148</v>
      </c>
      <c r="D8" s="7" t="s">
        <v>155</v>
      </c>
      <c r="E8" s="8">
        <v>45000</v>
      </c>
      <c r="F8" s="7" t="str">
        <f t="shared" si="0"/>
        <v>Premium customer</v>
      </c>
    </row>
    <row r="9" spans="1:6" x14ac:dyDescent="0.35">
      <c r="A9" s="7" t="s">
        <v>142</v>
      </c>
      <c r="B9" s="7" t="s">
        <v>105</v>
      </c>
      <c r="C9" s="7" t="s">
        <v>150</v>
      </c>
      <c r="D9" s="7" t="s">
        <v>153</v>
      </c>
      <c r="E9" s="8">
        <v>30000</v>
      </c>
      <c r="F9" s="7" t="str">
        <f t="shared" si="0"/>
        <v>Golden customer</v>
      </c>
    </row>
    <row r="10" spans="1:6" x14ac:dyDescent="0.35">
      <c r="A10" s="7" t="s">
        <v>143</v>
      </c>
      <c r="B10" s="7" t="s">
        <v>64</v>
      </c>
      <c r="C10" s="7" t="s">
        <v>149</v>
      </c>
      <c r="D10" s="7" t="s">
        <v>152</v>
      </c>
      <c r="E10" s="8">
        <v>15000</v>
      </c>
      <c r="F10" s="7" t="str">
        <f t="shared" si="0"/>
        <v>Normal customer</v>
      </c>
    </row>
    <row r="11" spans="1:6" x14ac:dyDescent="0.35">
      <c r="A11" s="7"/>
      <c r="B11" s="7"/>
      <c r="C11" s="7"/>
      <c r="E11" s="8">
        <f>SUBTOTAL(109,E3:E10)</f>
        <v>251000</v>
      </c>
      <c r="F11" s="7"/>
    </row>
    <row r="12" spans="1:6" x14ac:dyDescent="0.35">
      <c r="C12" s="7"/>
    </row>
    <row r="13" spans="1:6" x14ac:dyDescent="0.35">
      <c r="A13" s="10"/>
      <c r="B13" s="10"/>
      <c r="C13" s="7"/>
    </row>
    <row r="14" spans="1:6" x14ac:dyDescent="0.35">
      <c r="C14" s="7"/>
    </row>
  </sheetData>
  <mergeCells count="1">
    <mergeCell ref="A13:B1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Chennai Orders</vt:lpstr>
      <vt:lpstr>sales value</vt:lpstr>
      <vt:lpstr>Average</vt:lpstr>
      <vt:lpstr>Exp tracker</vt:lpstr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Madhavapriya M</cp:lastModifiedBy>
  <cp:lastPrinted>2026-05-14T16:44:24Z</cp:lastPrinted>
  <dcterms:created xsi:type="dcterms:W3CDTF">2026-04-17T09:17:22Z</dcterms:created>
  <dcterms:modified xsi:type="dcterms:W3CDTF">2026-05-14T16:45:37Z</dcterms:modified>
</cp:coreProperties>
</file>